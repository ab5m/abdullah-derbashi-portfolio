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c59c5d8cc29ee18/Desktop/Digital_Loan_Application_and_Approval_System_Organized/09_Excel_Analysis/"/>
    </mc:Choice>
  </mc:AlternateContent>
  <xr:revisionPtr revIDLastSave="1" documentId="11_2367AB841CE3D1F99754804B277FE4ABEFA16498" xr6:coauthVersionLast="47" xr6:coauthVersionMax="47" xr10:uidLastSave="{6411716C-81FA-4547-88B7-8DC514544566}"/>
  <bookViews>
    <workbookView xWindow="-108" yWindow="-108" windowWidth="23256" windowHeight="12456" firstSheet="4" activeTab="8" xr2:uid="{00000000-000D-0000-FFFF-FFFF00000000}"/>
  </bookViews>
  <sheets>
    <sheet name="Applicant_Analysis" sheetId="1" r:id="rId1"/>
    <sheet name="LoanApplications_Clean" sheetId="2" r:id="rId2"/>
    <sheet name="LoanApplications" sheetId="3" r:id="rId3"/>
    <sheet name="Loan_Analysis" sheetId="4" r:id="rId4"/>
    <sheet name="Status_Analysis" sheetId="5" r:id="rId5"/>
    <sheet name="Decision_Analysis" sheetId="6" r:id="rId6"/>
    <sheet name="Trend_Analysis" sheetId="7" r:id="rId7"/>
    <sheet name="Queue_Analysis" sheetId="8" r:id="rId8"/>
    <sheet name="Dashboard_Loan" sheetId="9" r:id="rId9"/>
    <sheet name="Data_Quality_Notes" sheetId="10" r:id="rId10"/>
  </sheets>
  <calcPr calcId="191029"/>
  <pivotCaches>
    <pivotCache cacheId="0" r:id="rId11"/>
  </pivotCaches>
  <fileRecoveryPr repairLoad="1"/>
</workbook>
</file>

<file path=xl/calcChain.xml><?xml version="1.0" encoding="utf-8"?>
<calcChain xmlns="http://schemas.openxmlformats.org/spreadsheetml/2006/main">
  <c r="N5" i="9" l="1"/>
  <c r="F5" i="9"/>
  <c r="J5" i="9" s="1"/>
  <c r="B5" i="9"/>
</calcChain>
</file>

<file path=xl/sharedStrings.xml><?xml version="1.0" encoding="utf-8"?>
<sst xmlns="http://schemas.openxmlformats.org/spreadsheetml/2006/main" count="2063" uniqueCount="409">
  <si>
    <t>Row Labels</t>
  </si>
  <si>
    <t>Count of Application_ID</t>
  </si>
  <si>
    <t>Self employed</t>
  </si>
  <si>
    <t>Salaried</t>
  </si>
  <si>
    <t>Grand Total</t>
  </si>
  <si>
    <t>Final decision</t>
  </si>
  <si>
    <t>Open</t>
  </si>
  <si>
    <t>Withdrawn</t>
  </si>
  <si>
    <t>Application_ID</t>
  </si>
  <si>
    <t>Customer_ID</t>
  </si>
  <si>
    <t>Submitted_Date</t>
  </si>
  <si>
    <t>Requested_Amount_JOD</t>
  </si>
  <si>
    <t>Term_Months</t>
  </si>
  <si>
    <t>Employment_Type</t>
  </si>
  <si>
    <t>Current_Status</t>
  </si>
  <si>
    <t>Turnaround_Days</t>
  </si>
  <si>
    <t>Current_or_Decision_Reason</t>
  </si>
  <si>
    <t>Submission_Month</t>
  </si>
  <si>
    <t>Case_Group</t>
  </si>
  <si>
    <t>LN-20260001</t>
  </si>
  <si>
    <t>CUST-0001</t>
  </si>
  <si>
    <t>Declined</t>
  </si>
  <si>
    <t>Affordability threshold not met</t>
  </si>
  <si>
    <t>2026-02</t>
  </si>
  <si>
    <t>LN-20260002</t>
  </si>
  <si>
    <t>CUST-0002</t>
  </si>
  <si>
    <t>Under Review</t>
  </si>
  <si>
    <t>Review in progress</t>
  </si>
  <si>
    <t>2026-03</t>
  </si>
  <si>
    <t>LN-20260003</t>
  </si>
  <si>
    <t>CUST-0003</t>
  </si>
  <si>
    <t>More Information Required</t>
  </si>
  <si>
    <t>Income document missing</t>
  </si>
  <si>
    <t>LN-20260004</t>
  </si>
  <si>
    <t>CUST-0004</t>
  </si>
  <si>
    <t>Approved</t>
  </si>
  <si>
    <t>Eligibility criteria met</t>
  </si>
  <si>
    <t>LN-20260005</t>
  </si>
  <si>
    <t>CUST-0005</t>
  </si>
  <si>
    <t>LN-20260006</t>
  </si>
  <si>
    <t>CUST-0006</t>
  </si>
  <si>
    <t>2026-01</t>
  </si>
  <si>
    <t>LN-20260007</t>
  </si>
  <si>
    <t>CUST-0007</t>
  </si>
  <si>
    <t>Applicant withdrew</t>
  </si>
  <si>
    <t>LN-20260008</t>
  </si>
  <si>
    <t>CUST-0008</t>
  </si>
  <si>
    <t>LN-20260009</t>
  </si>
  <si>
    <t>CUST-0009</t>
  </si>
  <si>
    <t>LN-20260010</t>
  </si>
  <si>
    <t>CUST-0010</t>
  </si>
  <si>
    <t>LN-20260011</t>
  </si>
  <si>
    <t>CUST-0011</t>
  </si>
  <si>
    <t>LN-20260012</t>
  </si>
  <si>
    <t>CUST-0012</t>
  </si>
  <si>
    <t>LN-20260013</t>
  </si>
  <si>
    <t>CUST-0013</t>
  </si>
  <si>
    <t>LN-20260014</t>
  </si>
  <si>
    <t>CUST-0014</t>
  </si>
  <si>
    <t>LN-20260015</t>
  </si>
  <si>
    <t>CUST-0015</t>
  </si>
  <si>
    <t>LN-20260016</t>
  </si>
  <si>
    <t>CUST-0016</t>
  </si>
  <si>
    <t>LN-20260017</t>
  </si>
  <si>
    <t>CUST-0017</t>
  </si>
  <si>
    <t>LN-20260018</t>
  </si>
  <si>
    <t>CUST-0018</t>
  </si>
  <si>
    <t>LN-20260019</t>
  </si>
  <si>
    <t>CUST-0019</t>
  </si>
  <si>
    <t>LN-20260020</t>
  </si>
  <si>
    <t>CUST-0020</t>
  </si>
  <si>
    <t>LN-20260021</t>
  </si>
  <si>
    <t>CUST-0021</t>
  </si>
  <si>
    <t>LN-20260022</t>
  </si>
  <si>
    <t>CUST-0022</t>
  </si>
  <si>
    <t>LN-20260023</t>
  </si>
  <si>
    <t>CUST-0023</t>
  </si>
  <si>
    <t>LN-20260024</t>
  </si>
  <si>
    <t>CUST-0024</t>
  </si>
  <si>
    <t>LN-20260025</t>
  </si>
  <si>
    <t>CUST-0025</t>
  </si>
  <si>
    <t>LN-20260026</t>
  </si>
  <si>
    <t>CUST-0026</t>
  </si>
  <si>
    <t>LN-20260027</t>
  </si>
  <si>
    <t>CUST-0027</t>
  </si>
  <si>
    <t>LN-20260028</t>
  </si>
  <si>
    <t>CUST-0028</t>
  </si>
  <si>
    <t>LN-20260029</t>
  </si>
  <si>
    <t>CUST-0029</t>
  </si>
  <si>
    <t>LN-20260030</t>
  </si>
  <si>
    <t>CUST-0030</t>
  </si>
  <si>
    <t>LN-20260031</t>
  </si>
  <si>
    <t>CUST-0031</t>
  </si>
  <si>
    <t>LN-20260032</t>
  </si>
  <si>
    <t>CUST-0032</t>
  </si>
  <si>
    <t>LN-20260033</t>
  </si>
  <si>
    <t>CUST-0033</t>
  </si>
  <si>
    <t>LN-20260034</t>
  </si>
  <si>
    <t>CUST-0034</t>
  </si>
  <si>
    <t>LN-20260035</t>
  </si>
  <si>
    <t>CUST-0035</t>
  </si>
  <si>
    <t>LN-20260036</t>
  </si>
  <si>
    <t>CUST-0036</t>
  </si>
  <si>
    <t>LN-20260037</t>
  </si>
  <si>
    <t>CUST-0037</t>
  </si>
  <si>
    <t>LN-20260038</t>
  </si>
  <si>
    <t>CUST-0038</t>
  </si>
  <si>
    <t>LN-20260039</t>
  </si>
  <si>
    <t>CUST-0039</t>
  </si>
  <si>
    <t>LN-20260040</t>
  </si>
  <si>
    <t>CUST-0040</t>
  </si>
  <si>
    <t>LN-20260041</t>
  </si>
  <si>
    <t>CUST-0041</t>
  </si>
  <si>
    <t>LN-20260042</t>
  </si>
  <si>
    <t>CUST-0042</t>
  </si>
  <si>
    <t>LN-20260043</t>
  </si>
  <si>
    <t>CUST-0043</t>
  </si>
  <si>
    <t>LN-20260044</t>
  </si>
  <si>
    <t>CUST-0044</t>
  </si>
  <si>
    <t>LN-20260045</t>
  </si>
  <si>
    <t>CUST-0045</t>
  </si>
  <si>
    <t>LN-20260046</t>
  </si>
  <si>
    <t>CUST-0046</t>
  </si>
  <si>
    <t>LN-20260047</t>
  </si>
  <si>
    <t>CUST-0047</t>
  </si>
  <si>
    <t>LN-20260048</t>
  </si>
  <si>
    <t>CUST-0048</t>
  </si>
  <si>
    <t>LN-20260049</t>
  </si>
  <si>
    <t>CUST-0049</t>
  </si>
  <si>
    <t>LN-20260050</t>
  </si>
  <si>
    <t>CUST-0050</t>
  </si>
  <si>
    <t>LN-20260051</t>
  </si>
  <si>
    <t>CUST-0051</t>
  </si>
  <si>
    <t>LN-20260052</t>
  </si>
  <si>
    <t>CUST-0052</t>
  </si>
  <si>
    <t>LN-20260053</t>
  </si>
  <si>
    <t>CUST-0053</t>
  </si>
  <si>
    <t>LN-20260054</t>
  </si>
  <si>
    <t>CUST-0054</t>
  </si>
  <si>
    <t>LN-20260055</t>
  </si>
  <si>
    <t>CUST-0055</t>
  </si>
  <si>
    <t>LN-20260056</t>
  </si>
  <si>
    <t>CUST-0056</t>
  </si>
  <si>
    <t>LN-20260057</t>
  </si>
  <si>
    <t>CUST-0057</t>
  </si>
  <si>
    <t>LN-20260058</t>
  </si>
  <si>
    <t>CUST-0058</t>
  </si>
  <si>
    <t>LN-20260059</t>
  </si>
  <si>
    <t>CUST-0059</t>
  </si>
  <si>
    <t>LN-20260060</t>
  </si>
  <si>
    <t>CUST-0060</t>
  </si>
  <si>
    <t>LN-20260061</t>
  </si>
  <si>
    <t>CUST-0061</t>
  </si>
  <si>
    <t>LN-20260062</t>
  </si>
  <si>
    <t>CUST-0062</t>
  </si>
  <si>
    <t>LN-20260063</t>
  </si>
  <si>
    <t>CUST-0063</t>
  </si>
  <si>
    <t>LN-20260064</t>
  </si>
  <si>
    <t>CUST-0064</t>
  </si>
  <si>
    <t>LN-20260065</t>
  </si>
  <si>
    <t>CUST-0065</t>
  </si>
  <si>
    <t>LN-20260066</t>
  </si>
  <si>
    <t>CUST-0066</t>
  </si>
  <si>
    <t>LN-20260067</t>
  </si>
  <si>
    <t>CUST-0067</t>
  </si>
  <si>
    <t>LN-20260068</t>
  </si>
  <si>
    <t>CUST-0068</t>
  </si>
  <si>
    <t>LN-20260069</t>
  </si>
  <si>
    <t>CUST-0069</t>
  </si>
  <si>
    <t>LN-20260070</t>
  </si>
  <si>
    <t>CUST-0070</t>
  </si>
  <si>
    <t>LN-20260071</t>
  </si>
  <si>
    <t>CUST-0071</t>
  </si>
  <si>
    <t>LN-20260072</t>
  </si>
  <si>
    <t>CUST-0072</t>
  </si>
  <si>
    <t>LN-20260073</t>
  </si>
  <si>
    <t>CUST-0073</t>
  </si>
  <si>
    <t>LN-20260074</t>
  </si>
  <si>
    <t>CUST-0074</t>
  </si>
  <si>
    <t>LN-20260075</t>
  </si>
  <si>
    <t>CUST-0075</t>
  </si>
  <si>
    <t>LN-20260076</t>
  </si>
  <si>
    <t>CUST-0076</t>
  </si>
  <si>
    <t>LN-20260077</t>
  </si>
  <si>
    <t>CUST-0077</t>
  </si>
  <si>
    <t>LN-20260078</t>
  </si>
  <si>
    <t>CUST-0078</t>
  </si>
  <si>
    <t>LN-20260079</t>
  </si>
  <si>
    <t>CUST-0079</t>
  </si>
  <si>
    <t>LN-20260080</t>
  </si>
  <si>
    <t>CUST-0080</t>
  </si>
  <si>
    <t>LN-20260081</t>
  </si>
  <si>
    <t>CUST-0081</t>
  </si>
  <si>
    <t>LN-20260082</t>
  </si>
  <si>
    <t>CUST-0082</t>
  </si>
  <si>
    <t>LN-20260083</t>
  </si>
  <si>
    <t>CUST-0083</t>
  </si>
  <si>
    <t>LN-20260084</t>
  </si>
  <si>
    <t>CUST-0084</t>
  </si>
  <si>
    <t>LN-20260085</t>
  </si>
  <si>
    <t>CUST-0085</t>
  </si>
  <si>
    <t>LN-20260086</t>
  </si>
  <si>
    <t>CUST-0086</t>
  </si>
  <si>
    <t>LN-20260087</t>
  </si>
  <si>
    <t>CUST-0087</t>
  </si>
  <si>
    <t>LN-20260088</t>
  </si>
  <si>
    <t>CUST-0088</t>
  </si>
  <si>
    <t>LN-20260089</t>
  </si>
  <si>
    <t>CUST-0089</t>
  </si>
  <si>
    <t>LN-20260090</t>
  </si>
  <si>
    <t>CUST-0090</t>
  </si>
  <si>
    <t>LN-20260091</t>
  </si>
  <si>
    <t>CUST-0091</t>
  </si>
  <si>
    <t>LN-20260092</t>
  </si>
  <si>
    <t>CUST-0092</t>
  </si>
  <si>
    <t>LN-20260093</t>
  </si>
  <si>
    <t>CUST-0093</t>
  </si>
  <si>
    <t>LN-20260094</t>
  </si>
  <si>
    <t>CUST-0094</t>
  </si>
  <si>
    <t>LN-20260095</t>
  </si>
  <si>
    <t>CUST-0095</t>
  </si>
  <si>
    <t>LN-20260096</t>
  </si>
  <si>
    <t>CUST-0096</t>
  </si>
  <si>
    <t>LN-20260097</t>
  </si>
  <si>
    <t>CUST-0097</t>
  </si>
  <si>
    <t>LN-20260098</t>
  </si>
  <si>
    <t>CUST-0098</t>
  </si>
  <si>
    <t>LN-20260099</t>
  </si>
  <si>
    <t>CUST-0099</t>
  </si>
  <si>
    <t>LN-20260100</t>
  </si>
  <si>
    <t>CUST-0100</t>
  </si>
  <si>
    <t>LN-20260101</t>
  </si>
  <si>
    <t>CUST-0101</t>
  </si>
  <si>
    <t>LN-20260102</t>
  </si>
  <si>
    <t>CUST-0102</t>
  </si>
  <si>
    <t>LN-20260103</t>
  </si>
  <si>
    <t>CUST-0103</t>
  </si>
  <si>
    <t>LN-20260104</t>
  </si>
  <si>
    <t>CUST-0104</t>
  </si>
  <si>
    <t>LN-20260105</t>
  </si>
  <si>
    <t>CUST-0105</t>
  </si>
  <si>
    <t>LN-20260106</t>
  </si>
  <si>
    <t>CUST-0106</t>
  </si>
  <si>
    <t>LN-20260107</t>
  </si>
  <si>
    <t>CUST-0107</t>
  </si>
  <si>
    <t>LN-20260108</t>
  </si>
  <si>
    <t>CUST-0108</t>
  </si>
  <si>
    <t>LN-20260109</t>
  </si>
  <si>
    <t>CUST-0109</t>
  </si>
  <si>
    <t>LN-20260110</t>
  </si>
  <si>
    <t>CUST-0110</t>
  </si>
  <si>
    <t>LN-20260111</t>
  </si>
  <si>
    <t>CUST-0111</t>
  </si>
  <si>
    <t>LN-20260112</t>
  </si>
  <si>
    <t>CUST-0112</t>
  </si>
  <si>
    <t>LN-20260113</t>
  </si>
  <si>
    <t>CUST-0113</t>
  </si>
  <si>
    <t>LN-20260114</t>
  </si>
  <si>
    <t>CUST-0114</t>
  </si>
  <si>
    <t>LN-20260115</t>
  </si>
  <si>
    <t>CUST-0115</t>
  </si>
  <si>
    <t>LN-20260116</t>
  </si>
  <si>
    <t>CUST-0116</t>
  </si>
  <si>
    <t>LN-20260117</t>
  </si>
  <si>
    <t>CUST-0117</t>
  </si>
  <si>
    <t>LN-20260118</t>
  </si>
  <si>
    <t>CUST-0118</t>
  </si>
  <si>
    <t>LN-20260119</t>
  </si>
  <si>
    <t>CUST-0119</t>
  </si>
  <si>
    <t>LN-20260120</t>
  </si>
  <si>
    <t>CUST-0120</t>
  </si>
  <si>
    <t>2026-02-06</t>
  </si>
  <si>
    <t>4000</t>
  </si>
  <si>
    <t>24</t>
  </si>
  <si>
    <t>6</t>
  </si>
  <si>
    <t>2026-03-14</t>
  </si>
  <si>
    <t>3000</t>
  </si>
  <si>
    <t>13</t>
  </si>
  <si>
    <t>2026-03-02</t>
  </si>
  <si>
    <t>6500</t>
  </si>
  <si>
    <t>18</t>
  </si>
  <si>
    <t>5</t>
  </si>
  <si>
    <t>2026-03-04</t>
  </si>
  <si>
    <t>12</t>
  </si>
  <si>
    <t>2026-03-05</t>
  </si>
  <si>
    <t>8000</t>
  </si>
  <si>
    <t>36</t>
  </si>
  <si>
    <t>11</t>
  </si>
  <si>
    <t>2026-01-25</t>
  </si>
  <si>
    <t>5000</t>
  </si>
  <si>
    <t>10</t>
  </si>
  <si>
    <t>2026-02-08</t>
  </si>
  <si>
    <t>1</t>
  </si>
  <si>
    <t>2026-02-03</t>
  </si>
  <si>
    <t>2</t>
  </si>
  <si>
    <t>2026-03-10</t>
  </si>
  <si>
    <t>2500</t>
  </si>
  <si>
    <t>9</t>
  </si>
  <si>
    <t>2026-03-26</t>
  </si>
  <si>
    <t>2000</t>
  </si>
  <si>
    <t>2026-02-24</t>
  </si>
  <si>
    <t>3</t>
  </si>
  <si>
    <t>2026-02-02</t>
  </si>
  <si>
    <t>2026-03-13</t>
  </si>
  <si>
    <t>2026-03-09</t>
  </si>
  <si>
    <t>4</t>
  </si>
  <si>
    <t>2026-02-27</t>
  </si>
  <si>
    <t>2026-02-25</t>
  </si>
  <si>
    <t>2026-03-01</t>
  </si>
  <si>
    <t>2026-03-08</t>
  </si>
  <si>
    <t>2026-02-12</t>
  </si>
  <si>
    <t>2026-03-23</t>
  </si>
  <si>
    <t>1500</t>
  </si>
  <si>
    <t>2026-03-16</t>
  </si>
  <si>
    <t>2026-02-11</t>
  </si>
  <si>
    <t>2026-01-28</t>
  </si>
  <si>
    <t>2026-03-27</t>
  </si>
  <si>
    <t>2026-01-18</t>
  </si>
  <si>
    <t>2026-02-05</t>
  </si>
  <si>
    <t>8</t>
  </si>
  <si>
    <t>2026-02-17</t>
  </si>
  <si>
    <t>14</t>
  </si>
  <si>
    <t>2026-03-18</t>
  </si>
  <si>
    <t>2026-01-20</t>
  </si>
  <si>
    <t>2026-02-18</t>
  </si>
  <si>
    <t>2026-01-16</t>
  </si>
  <si>
    <t>2026-01-03</t>
  </si>
  <si>
    <t>2026-01-05</t>
  </si>
  <si>
    <t>2026-03-21</t>
  </si>
  <si>
    <t>2026-01-07</t>
  </si>
  <si>
    <t>2026-02-21</t>
  </si>
  <si>
    <t>2026-02-15</t>
  </si>
  <si>
    <t>2026-02-22</t>
  </si>
  <si>
    <t>2026-03-15</t>
  </si>
  <si>
    <t>16</t>
  </si>
  <si>
    <t>2026-01-22</t>
  </si>
  <si>
    <t>7</t>
  </si>
  <si>
    <t>2026-02-07</t>
  </si>
  <si>
    <t>2026-03-12</t>
  </si>
  <si>
    <t>2026-01-01</t>
  </si>
  <si>
    <t>2026-01-21</t>
  </si>
  <si>
    <t>15</t>
  </si>
  <si>
    <t>2026-02-10</t>
  </si>
  <si>
    <t>2026-03-22</t>
  </si>
  <si>
    <t>2026-02-26</t>
  </si>
  <si>
    <t>2026-02-19</t>
  </si>
  <si>
    <t>2026-01-27</t>
  </si>
  <si>
    <t>2026-02-20</t>
  </si>
  <si>
    <t>2026-03-06</t>
  </si>
  <si>
    <t>2026-02-04</t>
  </si>
  <si>
    <t>2026-01-23</t>
  </si>
  <si>
    <t>17</t>
  </si>
  <si>
    <t>2026-02-09</t>
  </si>
  <si>
    <t>2026-01-17</t>
  </si>
  <si>
    <t>2026-01-24</t>
  </si>
  <si>
    <t>2026-03-24</t>
  </si>
  <si>
    <t>2026-02-28</t>
  </si>
  <si>
    <t>2026-03-25</t>
  </si>
  <si>
    <t>2026-03-07</t>
  </si>
  <si>
    <t>2026-01-10</t>
  </si>
  <si>
    <t>2026-02-23</t>
  </si>
  <si>
    <t>2026-01-09</t>
  </si>
  <si>
    <t>Sum of Requested_Amount_JOD</t>
  </si>
  <si>
    <t>Average of Turnaround_Days</t>
  </si>
  <si>
    <t>Digital Loan Application Dashboard</t>
  </si>
  <si>
    <t>Total Applications</t>
  </si>
  <si>
    <t>Approved Applications</t>
  </si>
  <si>
    <t>Approval Share</t>
  </si>
  <si>
    <t>Requested Amount (JOD)</t>
  </si>
  <si>
    <t>Area</t>
  </si>
  <si>
    <t>Finding</t>
  </si>
  <si>
    <t>Treatment</t>
  </si>
  <si>
    <t>Interpretation</t>
  </si>
  <si>
    <t>Source</t>
  </si>
  <si>
    <t>08_SQL/CSV_Import/Loan_Applications_Clean.csv</t>
  </si>
  <si>
    <t>120 rows retained</t>
  </si>
  <si>
    <t>Simulated portfolio data</t>
  </si>
  <si>
    <t>Identifiers</t>
  </si>
  <si>
    <t>120 unique application IDs</t>
  </si>
  <si>
    <t>No duplicate removal needed</t>
  </si>
  <si>
    <t>One row per application</t>
  </si>
  <si>
    <t>Dates</t>
  </si>
  <si>
    <t>All dates valid</t>
  </si>
  <si>
    <t>Stored as Excel dates</t>
  </si>
  <si>
    <t>January to March 2026</t>
  </si>
  <si>
    <t>Numeric fields</t>
  </si>
  <si>
    <t>Amounts and terms positive; durations nonnegative</t>
  </si>
  <si>
    <t>Stored as numbers</t>
  </si>
  <si>
    <t>No invented replacements</t>
  </si>
  <si>
    <t>Status</t>
  </si>
  <si>
    <t>Five statuses including Withdrawn</t>
  </si>
  <si>
    <t>All retained</t>
  </si>
  <si>
    <t>No omitted category</t>
  </si>
  <si>
    <t>Recorded duration</t>
  </si>
  <si>
    <t>Turnaround_Days includes open and closed cases</t>
  </si>
  <si>
    <t>Shown as recorded duration</t>
  </si>
  <si>
    <t>Not exclusively time to final decision</t>
  </si>
  <si>
    <t>Approval share</t>
  </si>
  <si>
    <t>42 approvals out of 120 applications</t>
  </si>
  <si>
    <t>35.0%</t>
  </si>
  <si>
    <t>Denominator includes all cases</t>
  </si>
  <si>
    <t>Pivot tables</t>
  </si>
  <si>
    <t>Clean data grouped in analysis sheets</t>
  </si>
  <si>
    <t>Data &gt; Refresh All after changes</t>
  </si>
  <si>
    <t>Dashboard charts read summary ranges</t>
  </si>
  <si>
    <t>PDF</t>
  </si>
  <si>
    <t>Dashboard and six analytical sheets</t>
  </si>
  <si>
    <t>Charts included</t>
  </si>
  <si>
    <t>Detailed source rows are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</si>
</sst>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7">
    <font>
      <sz val="11"/>
      <name val="Carlito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22"/>
      <color rgb="FF000000"/>
      <name val="Calibri"/>
    </font>
    <font>
      <b/>
      <sz val="13"/>
      <color rgb="FF000000"/>
      <name val="Calibri"/>
    </font>
    <font>
      <b/>
      <sz val="25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6082"/>
      </patternFill>
    </fill>
    <fill>
      <patternFill patternType="solid">
        <fgColor rgb="FFD9E2F3"/>
      </patternFill>
    </fill>
    <fill>
      <patternFill patternType="solid">
        <fgColor rgb="FFA6A6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4" fontId="1" fillId="0" borderId="0" xfId="0" applyNumberFormat="1" applyFont="1"/>
    <xf numFmtId="4" fontId="0" fillId="0" borderId="0" xfId="0" applyNumberFormat="1"/>
    <xf numFmtId="0" fontId="3" fillId="3" borderId="0" xfId="0" applyFont="1" applyFill="1"/>
    <xf numFmtId="0" fontId="3" fillId="3" borderId="0" xfId="0" applyFont="1" applyFill="1" applyAlignment="1">
      <alignment wrapText="1"/>
    </xf>
    <xf numFmtId="3" fontId="1" fillId="0" borderId="0" xfId="0" applyNumberFormat="1" applyFont="1"/>
    <xf numFmtId="3" fontId="3" fillId="3" borderId="0" xfId="0" applyNumberFormat="1" applyFont="1" applyFill="1"/>
    <xf numFmtId="0" fontId="1" fillId="0" borderId="0" xfId="0" applyFont="1" applyAlignment="1">
      <alignment wrapText="1"/>
    </xf>
    <xf numFmtId="4" fontId="3" fillId="3" borderId="0" xfId="0" applyNumberFormat="1" applyFont="1" applyFill="1"/>
    <xf numFmtId="165" fontId="1" fillId="0" borderId="0" xfId="0" applyNumberFormat="1" applyFont="1"/>
    <xf numFmtId="165" fontId="3" fillId="3" borderId="0" xfId="0" applyNumberFormat="1" applyFont="1" applyFill="1"/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/>
    </xf>
    <xf numFmtId="3" fontId="6" fillId="4" borderId="0" xfId="0" applyNumberFormat="1" applyFont="1" applyFill="1" applyAlignment="1">
      <alignment horizontal="center" vertical="center"/>
    </xf>
    <xf numFmtId="166" fontId="6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Applications by Employment Type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 of Application_ID</c:v>
          </c:tx>
          <c:spPr>
            <a:solidFill>
              <a:srgbClr val="156082"/>
            </a:solidFill>
          </c:spPr>
          <c:invertIfNegative val="1"/>
          <c:cat>
            <c:strRef>
              <c:f>Applicant_Analysis!$A$4:$A$5</c:f>
              <c:strCache>
                <c:ptCount val="2"/>
                <c:pt idx="0">
                  <c:v>Self employed</c:v>
                </c:pt>
                <c:pt idx="1">
                  <c:v>Salaried</c:v>
                </c:pt>
              </c:strCache>
            </c:strRef>
          </c:cat>
          <c:val>
            <c:numRef>
              <c:f>Applicant_Analysis!$B$4:$B$5</c:f>
              <c:numCache>
                <c:formatCode>#,##0</c:formatCode>
                <c:ptCount val="2"/>
                <c:pt idx="0">
                  <c:v>64</c:v>
                </c:pt>
                <c:pt idx="1">
                  <c:v>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C69-404E-87CD-E021002BB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Application Progress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Count of Application_ID</c:v>
          </c:tx>
          <c:cat>
            <c:strRef>
              <c:f>Applicant_Analysis!$A$12:$A$14</c:f>
              <c:strCache>
                <c:ptCount val="3"/>
                <c:pt idx="0">
                  <c:v>Final decision</c:v>
                </c:pt>
                <c:pt idx="1">
                  <c:v>Open</c:v>
                </c:pt>
                <c:pt idx="2">
                  <c:v>Withdrawn</c:v>
                </c:pt>
              </c:strCache>
            </c:strRef>
          </c:cat>
          <c:val>
            <c:numRef>
              <c:f>Applicant_Analysis!$B$12:$B$14</c:f>
              <c:numCache>
                <c:formatCode>#,##0</c:formatCode>
                <c:ptCount val="3"/>
                <c:pt idx="0">
                  <c:v>73</c:v>
                </c:pt>
                <c:pt idx="1">
                  <c:v>43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4-40CA-9CD4-A8E980076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Requested Amount by Term (JOD)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Sum of Requested_Amount_JOD</c:v>
          </c:tx>
          <c:spPr>
            <a:solidFill>
              <a:srgbClr val="156082"/>
            </a:solidFill>
          </c:spPr>
          <c:invertIfNegative val="1"/>
          <c:cat>
            <c:numRef>
              <c:f>Loan_Analysis!$A$4:$A$7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24</c:v>
                </c:pt>
                <c:pt idx="3">
                  <c:v>36</c:v>
                </c:pt>
              </c:numCache>
            </c:numRef>
          </c:cat>
          <c:val>
            <c:numRef>
              <c:f>Loan_Analysis!$B$4:$B$7</c:f>
              <c:numCache>
                <c:formatCode>#,##0.00</c:formatCode>
                <c:ptCount val="4"/>
                <c:pt idx="0">
                  <c:v>114500</c:v>
                </c:pt>
                <c:pt idx="1">
                  <c:v>150000</c:v>
                </c:pt>
                <c:pt idx="2">
                  <c:v>118500</c:v>
                </c:pt>
                <c:pt idx="3">
                  <c:v>112500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942-4B83-9815-7E7161B6E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Applications by Loan Term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 of Application_ID</c:v>
          </c:tx>
          <c:spPr>
            <a:solidFill>
              <a:srgbClr val="156082"/>
            </a:solidFill>
          </c:spPr>
          <c:invertIfNegative val="1"/>
          <c:cat>
            <c:numRef>
              <c:f>Loan_Analysis!$A$14:$A$17</c:f>
              <c:numCache>
                <c:formatCode>General</c:formatCode>
                <c:ptCount val="4"/>
                <c:pt idx="0">
                  <c:v>18</c:v>
                </c:pt>
                <c:pt idx="1">
                  <c:v>24</c:v>
                </c:pt>
                <c:pt idx="2">
                  <c:v>36</c:v>
                </c:pt>
                <c:pt idx="3">
                  <c:v>12</c:v>
                </c:pt>
              </c:numCache>
            </c:numRef>
          </c:cat>
          <c:val>
            <c:numRef>
              <c:f>Loan_Analysis!$B$14:$B$17</c:f>
              <c:numCache>
                <c:formatCode>#,##0</c:formatCode>
                <c:ptCount val="4"/>
                <c:pt idx="0">
                  <c:v>35</c:v>
                </c:pt>
                <c:pt idx="1">
                  <c:v>30</c:v>
                </c:pt>
                <c:pt idx="2">
                  <c:v>29</c:v>
                </c:pt>
                <c:pt idx="3">
                  <c:v>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236-4CE2-96FD-E7FB94416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Applications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 of Application_ID</c:v>
          </c:tx>
          <c:spPr>
            <a:solidFill>
              <a:srgbClr val="156082"/>
            </a:solidFill>
          </c:spPr>
          <c:invertIfNegative val="1"/>
          <c:cat>
            <c:strRef>
              <c:f>Status_Analysis!$A$4:$A$8</c:f>
              <c:strCache>
                <c:ptCount val="5"/>
                <c:pt idx="0">
                  <c:v>Approved</c:v>
                </c:pt>
                <c:pt idx="1">
                  <c:v>Declined</c:v>
                </c:pt>
                <c:pt idx="2">
                  <c:v>Under Review</c:v>
                </c:pt>
                <c:pt idx="3">
                  <c:v>More Information Required</c:v>
                </c:pt>
                <c:pt idx="4">
                  <c:v>Withdrawn</c:v>
                </c:pt>
              </c:strCache>
            </c:strRef>
          </c:cat>
          <c:val>
            <c:numRef>
              <c:f>Status_Analysis!$B$4:$B$8</c:f>
              <c:numCache>
                <c:formatCode>#,##0</c:formatCode>
                <c:ptCount val="5"/>
                <c:pt idx="0">
                  <c:v>42</c:v>
                </c:pt>
                <c:pt idx="1">
                  <c:v>31</c:v>
                </c:pt>
                <c:pt idx="2">
                  <c:v>26</c:v>
                </c:pt>
                <c:pt idx="3">
                  <c:v>17</c:v>
                </c:pt>
                <c:pt idx="4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71E-4045-ABFB-0A16FEA71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Requested Amount by Status (JOD)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Sum of Requested_Amount_JOD</c:v>
          </c:tx>
          <c:spPr>
            <a:solidFill>
              <a:srgbClr val="156082"/>
            </a:solidFill>
          </c:spPr>
          <c:invertIfNegative val="1"/>
          <c:cat>
            <c:strRef>
              <c:f>Status_Analysis!$A$14:$A$18</c:f>
              <c:strCache>
                <c:ptCount val="5"/>
                <c:pt idx="0">
                  <c:v>Approved</c:v>
                </c:pt>
                <c:pt idx="1">
                  <c:v>Declined</c:v>
                </c:pt>
                <c:pt idx="2">
                  <c:v>More Information Required</c:v>
                </c:pt>
                <c:pt idx="3">
                  <c:v>Under Review</c:v>
                </c:pt>
                <c:pt idx="4">
                  <c:v>Withdrawn</c:v>
                </c:pt>
              </c:strCache>
            </c:strRef>
          </c:cat>
          <c:val>
            <c:numRef>
              <c:f>Status_Analysis!$B$14:$B$18</c:f>
              <c:numCache>
                <c:formatCode>#,##0.00</c:formatCode>
                <c:ptCount val="5"/>
                <c:pt idx="0">
                  <c:v>176500</c:v>
                </c:pt>
                <c:pt idx="1">
                  <c:v>125500</c:v>
                </c:pt>
                <c:pt idx="2">
                  <c:v>61500</c:v>
                </c:pt>
                <c:pt idx="3">
                  <c:v>114000</c:v>
                </c:pt>
                <c:pt idx="4">
                  <c:v>18000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5681-42BE-A9E4-CE928EAF3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Applications by Reason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 of Application_ID</c:v>
          </c:tx>
          <c:spPr>
            <a:solidFill>
              <a:srgbClr val="156082"/>
            </a:solidFill>
          </c:spPr>
          <c:invertIfNegative val="1"/>
          <c:cat>
            <c:strRef>
              <c:f>Decision_Analysis!$A$4:$A$8</c:f>
              <c:strCache>
                <c:ptCount val="5"/>
                <c:pt idx="0">
                  <c:v>Eligibility criteria met</c:v>
                </c:pt>
                <c:pt idx="1">
                  <c:v>Affordability threshold not met</c:v>
                </c:pt>
                <c:pt idx="2">
                  <c:v>Review in progress</c:v>
                </c:pt>
                <c:pt idx="3">
                  <c:v>Income document missing</c:v>
                </c:pt>
                <c:pt idx="4">
                  <c:v>Applicant withdrew</c:v>
                </c:pt>
              </c:strCache>
            </c:strRef>
          </c:cat>
          <c:val>
            <c:numRef>
              <c:f>Decision_Analysis!$B$4:$B$8</c:f>
              <c:numCache>
                <c:formatCode>#,##0</c:formatCode>
                <c:ptCount val="5"/>
                <c:pt idx="0">
                  <c:v>42</c:v>
                </c:pt>
                <c:pt idx="1">
                  <c:v>31</c:v>
                </c:pt>
                <c:pt idx="2">
                  <c:v>26</c:v>
                </c:pt>
                <c:pt idx="3">
                  <c:v>17</c:v>
                </c:pt>
                <c:pt idx="4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D90-4ABF-BBDB-715176CEB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Requested Amount by Employment (JOD)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Sum of Requested_Amount_JOD</c:v>
          </c:tx>
          <c:spPr>
            <a:solidFill>
              <a:srgbClr val="156082"/>
            </a:solidFill>
          </c:spPr>
          <c:invertIfNegative val="1"/>
          <c:cat>
            <c:strRef>
              <c:f>Decision_Analysis!$A$14:$A$15</c:f>
              <c:strCache>
                <c:ptCount val="2"/>
                <c:pt idx="0">
                  <c:v>Salaried</c:v>
                </c:pt>
                <c:pt idx="1">
                  <c:v>Self employed</c:v>
                </c:pt>
              </c:strCache>
            </c:strRef>
          </c:cat>
          <c:val>
            <c:numRef>
              <c:f>Decision_Analysis!$B$14:$B$15</c:f>
              <c:numCache>
                <c:formatCode>#,##0.00</c:formatCode>
                <c:ptCount val="2"/>
                <c:pt idx="0">
                  <c:v>231500</c:v>
                </c:pt>
                <c:pt idx="1">
                  <c:v>264000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984-469E-9DEC-FBC6ABC5A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Monthly Requested Amount (JOD)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Sum of Requested_Amount_JOD</c:v>
          </c:tx>
          <c:spPr>
            <a:ln w="19050">
              <a:solidFill>
                <a:srgbClr val="156082"/>
              </a:solidFill>
              <a:prstDash val="solid"/>
            </a:ln>
          </c:spPr>
          <c:marker>
            <c:symbol val="none"/>
          </c:marker>
          <c:cat>
            <c:strRef>
              <c:f>Trend_Analysis!$A$4:$A$6</c:f>
              <c:strCache>
                <c:ptCount val="3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</c:strCache>
            </c:strRef>
          </c:cat>
          <c:val>
            <c:numRef>
              <c:f>Trend_Analysis!$B$4:$B$6</c:f>
              <c:numCache>
                <c:formatCode>#,##0.00</c:formatCode>
                <c:ptCount val="3"/>
                <c:pt idx="0">
                  <c:v>137500</c:v>
                </c:pt>
                <c:pt idx="1">
                  <c:v>175000</c:v>
                </c:pt>
                <c:pt idx="2">
                  <c:v>183000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90-467E-A618-07B153F84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Recorded Duration by Status (days)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 of Turnaround_Days</c:v>
          </c:tx>
          <c:spPr>
            <a:solidFill>
              <a:srgbClr val="156082"/>
            </a:solidFill>
          </c:spPr>
          <c:invertIfNegative val="1"/>
          <c:cat>
            <c:strRef>
              <c:f>Queue_Analysis!$A$4:$A$8</c:f>
              <c:strCache>
                <c:ptCount val="5"/>
                <c:pt idx="0">
                  <c:v>Approved</c:v>
                </c:pt>
                <c:pt idx="1">
                  <c:v>Declined</c:v>
                </c:pt>
                <c:pt idx="2">
                  <c:v>More Information Required</c:v>
                </c:pt>
                <c:pt idx="3">
                  <c:v>Under Review</c:v>
                </c:pt>
                <c:pt idx="4">
                  <c:v>Withdrawn</c:v>
                </c:pt>
              </c:strCache>
            </c:strRef>
          </c:cat>
          <c:val>
            <c:numRef>
              <c:f>Queue_Analysis!$B$4:$B$8</c:f>
              <c:numCache>
                <c:formatCode>0.0</c:formatCode>
                <c:ptCount val="5"/>
                <c:pt idx="0">
                  <c:v>6.5714285714285712</c:v>
                </c:pt>
                <c:pt idx="1">
                  <c:v>7.4516129032258061</c:v>
                </c:pt>
                <c:pt idx="2">
                  <c:v>10.470588235294118</c:v>
                </c:pt>
                <c:pt idx="3">
                  <c:v>8.4615384615384617</c:v>
                </c:pt>
                <c:pt idx="4">
                  <c:v>1.25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F7B-4179-8C3B-A1D30A1F3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Recorded Duration by Employment (days)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 of Turnaround_Days</c:v>
          </c:tx>
          <c:spPr>
            <a:solidFill>
              <a:srgbClr val="156082"/>
            </a:solidFill>
          </c:spPr>
          <c:invertIfNegative val="1"/>
          <c:cat>
            <c:strRef>
              <c:f>Queue_Analysis!$A$14:$A$15</c:f>
              <c:strCache>
                <c:ptCount val="2"/>
                <c:pt idx="0">
                  <c:v>Salaried</c:v>
                </c:pt>
                <c:pt idx="1">
                  <c:v>Self employed</c:v>
                </c:pt>
              </c:strCache>
            </c:strRef>
          </c:cat>
          <c:val>
            <c:numRef>
              <c:f>Queue_Analysis!$B$14:$B$15</c:f>
              <c:numCache>
                <c:formatCode>0.0</c:formatCode>
                <c:ptCount val="2"/>
                <c:pt idx="0">
                  <c:v>7.625</c:v>
                </c:pt>
                <c:pt idx="1">
                  <c:v>7.546875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F7D-4128-9635-6EB4DB1C9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Applications by Employment Type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 of Application_ID</c:v>
          </c:tx>
          <c:spPr>
            <a:solidFill>
              <a:srgbClr val="156082"/>
            </a:solidFill>
          </c:spPr>
          <c:invertIfNegative val="1"/>
          <c:cat>
            <c:strRef>
              <c:f>Applicant_Analysis!$A$4:$A$5</c:f>
              <c:strCache>
                <c:ptCount val="2"/>
                <c:pt idx="0">
                  <c:v>Self employed</c:v>
                </c:pt>
                <c:pt idx="1">
                  <c:v>Salaried</c:v>
                </c:pt>
              </c:strCache>
            </c:strRef>
          </c:cat>
          <c:val>
            <c:numRef>
              <c:f>Applicant_Analysis!$B$4:$B$5</c:f>
              <c:numCache>
                <c:formatCode>#,##0</c:formatCode>
                <c:ptCount val="2"/>
                <c:pt idx="0">
                  <c:v>64</c:v>
                </c:pt>
                <c:pt idx="1">
                  <c:v>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608-4239-944E-059BF07FC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Requested Amount by Term (JOD)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Sum of Requested_Amount_JOD</c:v>
          </c:tx>
          <c:spPr>
            <a:solidFill>
              <a:srgbClr val="156082"/>
            </a:solidFill>
          </c:spPr>
          <c:invertIfNegative val="1"/>
          <c:cat>
            <c:numRef>
              <c:f>Loan_Analysis!$A$4:$A$7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24</c:v>
                </c:pt>
                <c:pt idx="3">
                  <c:v>36</c:v>
                </c:pt>
              </c:numCache>
            </c:numRef>
          </c:cat>
          <c:val>
            <c:numRef>
              <c:f>Loan_Analysis!$B$4:$B$7</c:f>
              <c:numCache>
                <c:formatCode>#,##0.00</c:formatCode>
                <c:ptCount val="4"/>
                <c:pt idx="0">
                  <c:v>114500</c:v>
                </c:pt>
                <c:pt idx="1">
                  <c:v>150000</c:v>
                </c:pt>
                <c:pt idx="2">
                  <c:v>118500</c:v>
                </c:pt>
                <c:pt idx="3">
                  <c:v>112500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007-4238-8157-7A0E00068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Applications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 of Application_ID</c:v>
          </c:tx>
          <c:spPr>
            <a:solidFill>
              <a:srgbClr val="156082"/>
            </a:solidFill>
          </c:spPr>
          <c:invertIfNegative val="1"/>
          <c:cat>
            <c:strRef>
              <c:f>Status_Analysis!$A$4:$A$8</c:f>
              <c:strCache>
                <c:ptCount val="5"/>
                <c:pt idx="0">
                  <c:v>Approved</c:v>
                </c:pt>
                <c:pt idx="1">
                  <c:v>Declined</c:v>
                </c:pt>
                <c:pt idx="2">
                  <c:v>Under Review</c:v>
                </c:pt>
                <c:pt idx="3">
                  <c:v>More Information Required</c:v>
                </c:pt>
                <c:pt idx="4">
                  <c:v>Withdrawn</c:v>
                </c:pt>
              </c:strCache>
            </c:strRef>
          </c:cat>
          <c:val>
            <c:numRef>
              <c:f>Status_Analysis!$B$4:$B$8</c:f>
              <c:numCache>
                <c:formatCode>#,##0</c:formatCode>
                <c:ptCount val="5"/>
                <c:pt idx="0">
                  <c:v>42</c:v>
                </c:pt>
                <c:pt idx="1">
                  <c:v>31</c:v>
                </c:pt>
                <c:pt idx="2">
                  <c:v>26</c:v>
                </c:pt>
                <c:pt idx="3">
                  <c:v>17</c:v>
                </c:pt>
                <c:pt idx="4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D7E-4FA4-81CF-47F734004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Requested Amount by Employment (JOD)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Sum of Requested_Amount_JOD</c:v>
          </c:tx>
          <c:spPr>
            <a:solidFill>
              <a:srgbClr val="156082"/>
            </a:solidFill>
          </c:spPr>
          <c:invertIfNegative val="1"/>
          <c:cat>
            <c:strRef>
              <c:f>Decision_Analysis!$A$14:$A$15</c:f>
              <c:strCache>
                <c:ptCount val="2"/>
                <c:pt idx="0">
                  <c:v>Salaried</c:v>
                </c:pt>
                <c:pt idx="1">
                  <c:v>Self employed</c:v>
                </c:pt>
              </c:strCache>
            </c:strRef>
          </c:cat>
          <c:val>
            <c:numRef>
              <c:f>Decision_Analysis!$B$14:$B$15</c:f>
              <c:numCache>
                <c:formatCode>#,##0.00</c:formatCode>
                <c:ptCount val="2"/>
                <c:pt idx="0">
                  <c:v>231500</c:v>
                </c:pt>
                <c:pt idx="1">
                  <c:v>264000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A9F2-4888-97F5-86D9C31F7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Recorded Duration by Status (days)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 of Turnaround_Days</c:v>
          </c:tx>
          <c:spPr>
            <a:solidFill>
              <a:srgbClr val="156082"/>
            </a:solidFill>
          </c:spPr>
          <c:invertIfNegative val="1"/>
          <c:cat>
            <c:strRef>
              <c:f>Queue_Analysis!$A$4:$A$8</c:f>
              <c:strCache>
                <c:ptCount val="5"/>
                <c:pt idx="0">
                  <c:v>Approved</c:v>
                </c:pt>
                <c:pt idx="1">
                  <c:v>Declined</c:v>
                </c:pt>
                <c:pt idx="2">
                  <c:v>More Information Required</c:v>
                </c:pt>
                <c:pt idx="3">
                  <c:v>Under Review</c:v>
                </c:pt>
                <c:pt idx="4">
                  <c:v>Withdrawn</c:v>
                </c:pt>
              </c:strCache>
            </c:strRef>
          </c:cat>
          <c:val>
            <c:numRef>
              <c:f>Queue_Analysis!$B$4:$B$8</c:f>
              <c:numCache>
                <c:formatCode>0.0</c:formatCode>
                <c:ptCount val="5"/>
                <c:pt idx="0">
                  <c:v>6.5714285714285712</c:v>
                </c:pt>
                <c:pt idx="1">
                  <c:v>7.4516129032258061</c:v>
                </c:pt>
                <c:pt idx="2">
                  <c:v>10.470588235294118</c:v>
                </c:pt>
                <c:pt idx="3">
                  <c:v>8.4615384615384617</c:v>
                </c:pt>
                <c:pt idx="4">
                  <c:v>1.25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B7F-4FBC-A631-3520A381E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>
                <a:latin typeface="Calibri"/>
                <a:ea typeface="Calibri"/>
                <a:cs typeface="Calibri"/>
              </a:rPr>
              <a:t>Monthly Requested Amount (JOD)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Sum of Requested_Amount_JOD</c:v>
          </c:tx>
          <c:spPr>
            <a:ln w="19050">
              <a:solidFill>
                <a:srgbClr val="156082"/>
              </a:solidFill>
              <a:prstDash val="solid"/>
            </a:ln>
          </c:spPr>
          <c:marker>
            <c:symbol val="none"/>
          </c:marker>
          <c:cat>
            <c:strRef>
              <c:f>Trend_Analysis!$A$4:$A$6</c:f>
              <c:strCache>
                <c:ptCount val="3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</c:strCache>
            </c:strRef>
          </c:cat>
          <c:val>
            <c:numRef>
              <c:f>Trend_Analysis!$B$4:$B$6</c:f>
              <c:numCache>
                <c:formatCode>#,##0.00</c:formatCode>
                <c:ptCount val="3"/>
                <c:pt idx="0">
                  <c:v>137500</c:v>
                </c:pt>
                <c:pt idx="1">
                  <c:v>175000</c:v>
                </c:pt>
                <c:pt idx="2">
                  <c:v>183000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5-4F97-96E6-EF6134483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259080</xdr:colOff>
      <xdr:row>8</xdr:row>
      <xdr:rowOff>160020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518160</xdr:colOff>
      <xdr:row>9</xdr:row>
      <xdr:rowOff>266700</xdr:rowOff>
    </xdr:from>
    <xdr:to>
      <xdr:col>8</xdr:col>
      <xdr:colOff>403860</xdr:colOff>
      <xdr:row>16</xdr:row>
      <xdr:rowOff>251460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632460</xdr:colOff>
      <xdr:row>9</xdr:row>
      <xdr:rowOff>167640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11</xdr:row>
      <xdr:rowOff>205740</xdr:rowOff>
    </xdr:from>
    <xdr:to>
      <xdr:col>9</xdr:col>
      <xdr:colOff>541020</xdr:colOff>
      <xdr:row>20</xdr:row>
      <xdr:rowOff>53340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91440</xdr:colOff>
      <xdr:row>9</xdr:row>
      <xdr:rowOff>167640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327660</xdr:colOff>
      <xdr:row>11</xdr:row>
      <xdr:rowOff>114300</xdr:rowOff>
    </xdr:from>
    <xdr:to>
      <xdr:col>10</xdr:col>
      <xdr:colOff>723900</xdr:colOff>
      <xdr:row>20</xdr:row>
      <xdr:rowOff>121920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198120</xdr:rowOff>
    </xdr:from>
    <xdr:to>
      <xdr:col>9</xdr:col>
      <xdr:colOff>594360</xdr:colOff>
      <xdr:row>9</xdr:row>
      <xdr:rowOff>160020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586740</xdr:colOff>
      <xdr:row>11</xdr:row>
      <xdr:rowOff>30480</xdr:rowOff>
    </xdr:from>
    <xdr:to>
      <xdr:col>9</xdr:col>
      <xdr:colOff>487680</xdr:colOff>
      <xdr:row>18</xdr:row>
      <xdr:rowOff>91440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434340</xdr:colOff>
      <xdr:row>8</xdr:row>
      <xdr:rowOff>152400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251460</xdr:colOff>
      <xdr:row>9</xdr:row>
      <xdr:rowOff>266700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106680</xdr:colOff>
      <xdr:row>11</xdr:row>
      <xdr:rowOff>243840</xdr:rowOff>
    </xdr:from>
    <xdr:to>
      <xdr:col>10</xdr:col>
      <xdr:colOff>388620</xdr:colOff>
      <xdr:row>18</xdr:row>
      <xdr:rowOff>251460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617220</xdr:colOff>
      <xdr:row>17</xdr:row>
      <xdr:rowOff>15240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8</xdr:row>
      <xdr:rowOff>0</xdr:rowOff>
    </xdr:from>
    <xdr:to>
      <xdr:col>16</xdr:col>
      <xdr:colOff>655320</xdr:colOff>
      <xdr:row>17</xdr:row>
      <xdr:rowOff>38100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784860</xdr:colOff>
      <xdr:row>18</xdr:row>
      <xdr:rowOff>236220</xdr:rowOff>
    </xdr:from>
    <xdr:to>
      <xdr:col>7</xdr:col>
      <xdr:colOff>640080</xdr:colOff>
      <xdr:row>28</xdr:row>
      <xdr:rowOff>243840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638175</xdr:colOff>
      <xdr:row>18</xdr:row>
      <xdr:rowOff>276225</xdr:rowOff>
    </xdr:from>
    <xdr:to>
      <xdr:col>17</xdr:col>
      <xdr:colOff>638175</xdr:colOff>
      <xdr:row>29</xdr:row>
      <xdr:rowOff>9525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657225</xdr:colOff>
      <xdr:row>31</xdr:row>
      <xdr:rowOff>114300</xdr:rowOff>
    </xdr:from>
    <xdr:to>
      <xdr:col>7</xdr:col>
      <xdr:colOff>742950</xdr:colOff>
      <xdr:row>42</xdr:row>
      <xdr:rowOff>238125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638175</xdr:colOff>
      <xdr:row>31</xdr:row>
      <xdr:rowOff>85725</xdr:rowOff>
    </xdr:from>
    <xdr:to>
      <xdr:col>17</xdr:col>
      <xdr:colOff>590550</xdr:colOff>
      <xdr:row>43</xdr:row>
      <xdr:rowOff>28575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6" refreshedVersion="6" minRefreshableVersion="3" recordCount="120" xr:uid="{00000000-000A-0000-FFFF-FFFF01000000}">
  <cacheSource type="worksheet">
    <worksheetSource name="LoanClean"/>
  </cacheSource>
  <cacheFields count="11">
    <cacheField name="Application_ID">
      <sharedItems count="120">
        <s v="LN-20260001"/>
        <s v="LN-20260002"/>
        <s v="LN-20260003"/>
        <s v="LN-20260004"/>
        <s v="LN-20260005"/>
        <s v="LN-20260006"/>
        <s v="LN-20260007"/>
        <s v="LN-20260008"/>
        <s v="LN-20260009"/>
        <s v="LN-20260010"/>
        <s v="LN-20260011"/>
        <s v="LN-20260012"/>
        <s v="LN-20260013"/>
        <s v="LN-20260014"/>
        <s v="LN-20260015"/>
        <s v="LN-20260016"/>
        <s v="LN-20260017"/>
        <s v="LN-20260018"/>
        <s v="LN-20260019"/>
        <s v="LN-20260020"/>
        <s v="LN-20260021"/>
        <s v="LN-20260022"/>
        <s v="LN-20260023"/>
        <s v="LN-20260024"/>
        <s v="LN-20260025"/>
        <s v="LN-20260026"/>
        <s v="LN-20260027"/>
        <s v="LN-20260028"/>
        <s v="LN-20260029"/>
        <s v="LN-20260030"/>
        <s v="LN-20260031"/>
        <s v="LN-20260032"/>
        <s v="LN-20260033"/>
        <s v="LN-20260034"/>
        <s v="LN-20260035"/>
        <s v="LN-20260036"/>
        <s v="LN-20260037"/>
        <s v="LN-20260038"/>
        <s v="LN-20260039"/>
        <s v="LN-20260040"/>
        <s v="LN-20260041"/>
        <s v="LN-20260042"/>
        <s v="LN-20260043"/>
        <s v="LN-20260044"/>
        <s v="LN-20260045"/>
        <s v="LN-20260046"/>
        <s v="LN-20260047"/>
        <s v="LN-20260048"/>
        <s v="LN-20260049"/>
        <s v="LN-20260050"/>
        <s v="LN-20260051"/>
        <s v="LN-20260052"/>
        <s v="LN-20260053"/>
        <s v="LN-20260054"/>
        <s v="LN-20260055"/>
        <s v="LN-20260056"/>
        <s v="LN-20260057"/>
        <s v="LN-20260058"/>
        <s v="LN-20260059"/>
        <s v="LN-20260060"/>
        <s v="LN-20260061"/>
        <s v="LN-20260062"/>
        <s v="LN-20260063"/>
        <s v="LN-20260064"/>
        <s v="LN-20260065"/>
        <s v="LN-20260066"/>
        <s v="LN-20260067"/>
        <s v="LN-20260068"/>
        <s v="LN-20260069"/>
        <s v="LN-20260070"/>
        <s v="LN-20260071"/>
        <s v="LN-20260072"/>
        <s v="LN-20260073"/>
        <s v="LN-20260074"/>
        <s v="LN-20260075"/>
        <s v="LN-20260076"/>
        <s v="LN-20260077"/>
        <s v="LN-20260078"/>
        <s v="LN-20260079"/>
        <s v="LN-20260080"/>
        <s v="LN-20260081"/>
        <s v="LN-20260082"/>
        <s v="LN-20260083"/>
        <s v="LN-20260084"/>
        <s v="LN-20260085"/>
        <s v="LN-20260086"/>
        <s v="LN-20260087"/>
        <s v="LN-20260088"/>
        <s v="LN-20260089"/>
        <s v="LN-20260090"/>
        <s v="LN-20260091"/>
        <s v="LN-20260092"/>
        <s v="LN-20260093"/>
        <s v="LN-20260094"/>
        <s v="LN-20260095"/>
        <s v="LN-20260096"/>
        <s v="LN-20260097"/>
        <s v="LN-20260098"/>
        <s v="LN-20260099"/>
        <s v="LN-20260100"/>
        <s v="LN-20260101"/>
        <s v="LN-20260102"/>
        <s v="LN-20260103"/>
        <s v="LN-20260104"/>
        <s v="LN-20260105"/>
        <s v="LN-20260106"/>
        <s v="LN-20260107"/>
        <s v="LN-20260108"/>
        <s v="LN-20260109"/>
        <s v="LN-20260110"/>
        <s v="LN-20260111"/>
        <s v="LN-20260112"/>
        <s v="LN-20260113"/>
        <s v="LN-20260114"/>
        <s v="LN-20260115"/>
        <s v="LN-20260116"/>
        <s v="LN-20260117"/>
        <s v="LN-20260118"/>
        <s v="LN-20260119"/>
        <s v="LN-20260120"/>
      </sharedItems>
    </cacheField>
    <cacheField name="Customer_ID">
      <sharedItems count="120">
        <s v="CUST-0001"/>
        <s v="CUST-0002"/>
        <s v="CUST-0003"/>
        <s v="CUST-0004"/>
        <s v="CUST-0005"/>
        <s v="CUST-0006"/>
        <s v="CUST-0007"/>
        <s v="CUST-0008"/>
        <s v="CUST-0009"/>
        <s v="CUST-0010"/>
        <s v="CUST-0011"/>
        <s v="CUST-0012"/>
        <s v="CUST-0013"/>
        <s v="CUST-0014"/>
        <s v="CUST-0015"/>
        <s v="CUST-0016"/>
        <s v="CUST-0017"/>
        <s v="CUST-0018"/>
        <s v="CUST-0019"/>
        <s v="CUST-0020"/>
        <s v="CUST-0021"/>
        <s v="CUST-0022"/>
        <s v="CUST-0023"/>
        <s v="CUST-0024"/>
        <s v="CUST-0025"/>
        <s v="CUST-0026"/>
        <s v="CUST-0027"/>
        <s v="CUST-0028"/>
        <s v="CUST-0029"/>
        <s v="CUST-0030"/>
        <s v="CUST-0031"/>
        <s v="CUST-0032"/>
        <s v="CUST-0033"/>
        <s v="CUST-0034"/>
        <s v="CUST-0035"/>
        <s v="CUST-0036"/>
        <s v="CUST-0037"/>
        <s v="CUST-0038"/>
        <s v="CUST-0039"/>
        <s v="CUST-0040"/>
        <s v="CUST-0041"/>
        <s v="CUST-0042"/>
        <s v="CUST-0043"/>
        <s v="CUST-0044"/>
        <s v="CUST-0045"/>
        <s v="CUST-0046"/>
        <s v="CUST-0047"/>
        <s v="CUST-0048"/>
        <s v="CUST-0049"/>
        <s v="CUST-0050"/>
        <s v="CUST-0051"/>
        <s v="CUST-0052"/>
        <s v="CUST-0053"/>
        <s v="CUST-0054"/>
        <s v="CUST-0055"/>
        <s v="CUST-0056"/>
        <s v="CUST-0057"/>
        <s v="CUST-0058"/>
        <s v="CUST-0059"/>
        <s v="CUST-0060"/>
        <s v="CUST-0061"/>
        <s v="CUST-0062"/>
        <s v="CUST-0063"/>
        <s v="CUST-0064"/>
        <s v="CUST-0065"/>
        <s v="CUST-0066"/>
        <s v="CUST-0067"/>
        <s v="CUST-0068"/>
        <s v="CUST-0069"/>
        <s v="CUST-0070"/>
        <s v="CUST-0071"/>
        <s v="CUST-0072"/>
        <s v="CUST-0073"/>
        <s v="CUST-0074"/>
        <s v="CUST-0075"/>
        <s v="CUST-0076"/>
        <s v="CUST-0077"/>
        <s v="CUST-0078"/>
        <s v="CUST-0079"/>
        <s v="CUST-0080"/>
        <s v="CUST-0081"/>
        <s v="CUST-0082"/>
        <s v="CUST-0083"/>
        <s v="CUST-0084"/>
        <s v="CUST-0085"/>
        <s v="CUST-0086"/>
        <s v="CUST-0087"/>
        <s v="CUST-0088"/>
        <s v="CUST-0089"/>
        <s v="CUST-0090"/>
        <s v="CUST-0091"/>
        <s v="CUST-0092"/>
        <s v="CUST-0093"/>
        <s v="CUST-0094"/>
        <s v="CUST-0095"/>
        <s v="CUST-0096"/>
        <s v="CUST-0097"/>
        <s v="CUST-0098"/>
        <s v="CUST-0099"/>
        <s v="CUST-0100"/>
        <s v="CUST-0101"/>
        <s v="CUST-0102"/>
        <s v="CUST-0103"/>
        <s v="CUST-0104"/>
        <s v="CUST-0105"/>
        <s v="CUST-0106"/>
        <s v="CUST-0107"/>
        <s v="CUST-0108"/>
        <s v="CUST-0109"/>
        <s v="CUST-0110"/>
        <s v="CUST-0111"/>
        <s v="CUST-0112"/>
        <s v="CUST-0113"/>
        <s v="CUST-0114"/>
        <s v="CUST-0115"/>
        <s v="CUST-0116"/>
        <s v="CUST-0117"/>
        <s v="CUST-0118"/>
        <s v="CUST-0119"/>
        <s v="CUST-0120"/>
      </sharedItems>
    </cacheField>
    <cacheField name="Submitted_Date">
      <sharedItems containsSemiMixedTypes="0" containsString="0" containsNumber="1" containsInteger="1" count="63">
        <n v="46059"/>
        <n v="46095"/>
        <n v="46083"/>
        <n v="46085"/>
        <n v="46086"/>
        <n v="46047"/>
        <n v="46061"/>
        <n v="46056"/>
        <n v="46091"/>
        <n v="46107"/>
        <n v="46077"/>
        <n v="46055"/>
        <n v="46094"/>
        <n v="46090"/>
        <n v="46080"/>
        <n v="46078"/>
        <n v="46082"/>
        <n v="46089"/>
        <n v="46065"/>
        <n v="46104"/>
        <n v="46097"/>
        <n v="46064"/>
        <n v="46050"/>
        <n v="46108"/>
        <n v="46040"/>
        <n v="46058"/>
        <n v="46070"/>
        <n v="46099"/>
        <n v="46042"/>
        <n v="46071"/>
        <n v="46038"/>
        <n v="46025"/>
        <n v="46027"/>
        <n v="46102"/>
        <n v="46029"/>
        <n v="46074"/>
        <n v="46068"/>
        <n v="46075"/>
        <n v="46096"/>
        <n v="46044"/>
        <n v="46060"/>
        <n v="46093"/>
        <n v="46023"/>
        <n v="46043"/>
        <n v="46063"/>
        <n v="46103"/>
        <n v="46079"/>
        <n v="46072"/>
        <n v="46049"/>
        <n v="46073"/>
        <n v="46087"/>
        <n v="46057"/>
        <n v="46045"/>
        <n v="46062"/>
        <n v="46039"/>
        <n v="46046"/>
        <n v="46105"/>
        <n v="46081"/>
        <n v="46106"/>
        <n v="46088"/>
        <n v="46032"/>
        <n v="46076"/>
        <n v="46031"/>
      </sharedItems>
    </cacheField>
    <cacheField name="Requested_Amount_JOD">
      <sharedItems containsSemiMixedTypes="0" containsString="0" containsNumber="1" containsInteger="1" count="8">
        <n v="4000"/>
        <n v="3000"/>
        <n v="6500"/>
        <n v="8000"/>
        <n v="5000"/>
        <n v="2500"/>
        <n v="2000"/>
        <n v="1500"/>
      </sharedItems>
    </cacheField>
    <cacheField name="Term_Months">
      <sharedItems containsSemiMixedTypes="0" containsString="0" containsNumber="1" containsInteger="1" count="4">
        <n v="24"/>
        <n v="18"/>
        <n v="12"/>
        <n v="36"/>
      </sharedItems>
    </cacheField>
    <cacheField name="Employment_Type">
      <sharedItems count="2">
        <s v="Salaried"/>
        <s v="Self employed"/>
      </sharedItems>
    </cacheField>
    <cacheField name="Current_Status">
      <sharedItems count="5">
        <s v="Declined"/>
        <s v="Under Review"/>
        <s v="More Information Required"/>
        <s v="Approved"/>
        <s v="Withdrawn"/>
      </sharedItems>
    </cacheField>
    <cacheField name="Turnaround_Days">
      <sharedItems containsSemiMixedTypes="0" containsString="0" containsNumber="1" containsInteger="1" count="18">
        <n v="6"/>
        <n v="13"/>
        <n v="5"/>
        <n v="11"/>
        <n v="10"/>
        <n v="1"/>
        <n v="2"/>
        <n v="9"/>
        <n v="3"/>
        <n v="4"/>
        <n v="12"/>
        <n v="8"/>
        <n v="14"/>
        <n v="16"/>
        <n v="7"/>
        <n v="18"/>
        <n v="15"/>
        <n v="17"/>
      </sharedItems>
    </cacheField>
    <cacheField name="Current_or_Decision_Reason">
      <sharedItems count="5">
        <s v="Affordability threshold not met"/>
        <s v="Review in progress"/>
        <s v="Income document missing"/>
        <s v="Eligibility criteria met"/>
        <s v="Applicant withdrew"/>
      </sharedItems>
    </cacheField>
    <cacheField name="Submission_Month">
      <sharedItems count="3">
        <s v="2026-02"/>
        <s v="2026-03"/>
        <s v="2026-01"/>
      </sharedItems>
    </cacheField>
    <cacheField name="Case_Group">
      <sharedItems count="3">
        <s v="Final decision"/>
        <s v="Open"/>
        <s v="Withdra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20">
  <r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</r>
  <r>
    <x v="2"/>
    <x v="2"/>
    <x v="2"/>
    <x v="2"/>
    <x v="1"/>
    <x v="0"/>
    <x v="2"/>
    <x v="2"/>
    <x v="2"/>
    <x v="1"/>
    <x v="1"/>
  </r>
  <r>
    <x v="3"/>
    <x v="3"/>
    <x v="3"/>
    <x v="1"/>
    <x v="2"/>
    <x v="1"/>
    <x v="3"/>
    <x v="0"/>
    <x v="3"/>
    <x v="1"/>
    <x v="0"/>
  </r>
  <r>
    <x v="4"/>
    <x v="4"/>
    <x v="4"/>
    <x v="3"/>
    <x v="3"/>
    <x v="1"/>
    <x v="0"/>
    <x v="3"/>
    <x v="0"/>
    <x v="1"/>
    <x v="0"/>
  </r>
  <r>
    <x v="5"/>
    <x v="5"/>
    <x v="5"/>
    <x v="4"/>
    <x v="0"/>
    <x v="0"/>
    <x v="3"/>
    <x v="4"/>
    <x v="3"/>
    <x v="2"/>
    <x v="0"/>
  </r>
  <r>
    <x v="6"/>
    <x v="6"/>
    <x v="6"/>
    <x v="4"/>
    <x v="2"/>
    <x v="0"/>
    <x v="4"/>
    <x v="5"/>
    <x v="4"/>
    <x v="0"/>
    <x v="2"/>
  </r>
  <r>
    <x v="7"/>
    <x v="7"/>
    <x v="7"/>
    <x v="4"/>
    <x v="0"/>
    <x v="0"/>
    <x v="4"/>
    <x v="6"/>
    <x v="4"/>
    <x v="0"/>
    <x v="2"/>
  </r>
  <r>
    <x v="8"/>
    <x v="8"/>
    <x v="8"/>
    <x v="5"/>
    <x v="0"/>
    <x v="1"/>
    <x v="2"/>
    <x v="7"/>
    <x v="2"/>
    <x v="1"/>
    <x v="1"/>
  </r>
  <r>
    <x v="9"/>
    <x v="9"/>
    <x v="9"/>
    <x v="6"/>
    <x v="0"/>
    <x v="1"/>
    <x v="3"/>
    <x v="4"/>
    <x v="3"/>
    <x v="1"/>
    <x v="0"/>
  </r>
  <r>
    <x v="10"/>
    <x v="10"/>
    <x v="10"/>
    <x v="4"/>
    <x v="0"/>
    <x v="1"/>
    <x v="3"/>
    <x v="5"/>
    <x v="3"/>
    <x v="0"/>
    <x v="0"/>
  </r>
  <r>
    <x v="11"/>
    <x v="11"/>
    <x v="7"/>
    <x v="1"/>
    <x v="3"/>
    <x v="0"/>
    <x v="2"/>
    <x v="4"/>
    <x v="2"/>
    <x v="0"/>
    <x v="1"/>
  </r>
  <r>
    <x v="12"/>
    <x v="12"/>
    <x v="10"/>
    <x v="5"/>
    <x v="3"/>
    <x v="0"/>
    <x v="2"/>
    <x v="1"/>
    <x v="2"/>
    <x v="0"/>
    <x v="1"/>
  </r>
  <r>
    <x v="13"/>
    <x v="13"/>
    <x v="3"/>
    <x v="0"/>
    <x v="1"/>
    <x v="0"/>
    <x v="3"/>
    <x v="8"/>
    <x v="3"/>
    <x v="1"/>
    <x v="0"/>
  </r>
  <r>
    <x v="14"/>
    <x v="14"/>
    <x v="11"/>
    <x v="0"/>
    <x v="1"/>
    <x v="1"/>
    <x v="1"/>
    <x v="3"/>
    <x v="1"/>
    <x v="0"/>
    <x v="1"/>
  </r>
  <r>
    <x v="15"/>
    <x v="15"/>
    <x v="12"/>
    <x v="0"/>
    <x v="3"/>
    <x v="0"/>
    <x v="3"/>
    <x v="2"/>
    <x v="3"/>
    <x v="1"/>
    <x v="0"/>
  </r>
  <r>
    <x v="16"/>
    <x v="16"/>
    <x v="13"/>
    <x v="1"/>
    <x v="1"/>
    <x v="1"/>
    <x v="0"/>
    <x v="9"/>
    <x v="0"/>
    <x v="1"/>
    <x v="0"/>
  </r>
  <r>
    <x v="17"/>
    <x v="17"/>
    <x v="14"/>
    <x v="3"/>
    <x v="3"/>
    <x v="0"/>
    <x v="3"/>
    <x v="4"/>
    <x v="3"/>
    <x v="0"/>
    <x v="0"/>
  </r>
  <r>
    <x v="18"/>
    <x v="18"/>
    <x v="15"/>
    <x v="3"/>
    <x v="1"/>
    <x v="0"/>
    <x v="0"/>
    <x v="6"/>
    <x v="0"/>
    <x v="0"/>
    <x v="0"/>
  </r>
  <r>
    <x v="19"/>
    <x v="19"/>
    <x v="16"/>
    <x v="1"/>
    <x v="3"/>
    <x v="0"/>
    <x v="0"/>
    <x v="0"/>
    <x v="0"/>
    <x v="1"/>
    <x v="0"/>
  </r>
  <r>
    <x v="20"/>
    <x v="20"/>
    <x v="17"/>
    <x v="4"/>
    <x v="0"/>
    <x v="1"/>
    <x v="1"/>
    <x v="0"/>
    <x v="1"/>
    <x v="1"/>
    <x v="1"/>
  </r>
  <r>
    <x v="21"/>
    <x v="21"/>
    <x v="18"/>
    <x v="1"/>
    <x v="3"/>
    <x v="0"/>
    <x v="3"/>
    <x v="2"/>
    <x v="3"/>
    <x v="0"/>
    <x v="0"/>
  </r>
  <r>
    <x v="22"/>
    <x v="22"/>
    <x v="19"/>
    <x v="7"/>
    <x v="1"/>
    <x v="1"/>
    <x v="0"/>
    <x v="9"/>
    <x v="0"/>
    <x v="1"/>
    <x v="0"/>
  </r>
  <r>
    <x v="23"/>
    <x v="23"/>
    <x v="20"/>
    <x v="5"/>
    <x v="3"/>
    <x v="0"/>
    <x v="0"/>
    <x v="7"/>
    <x v="0"/>
    <x v="1"/>
    <x v="0"/>
  </r>
  <r>
    <x v="24"/>
    <x v="24"/>
    <x v="21"/>
    <x v="5"/>
    <x v="0"/>
    <x v="0"/>
    <x v="3"/>
    <x v="5"/>
    <x v="3"/>
    <x v="0"/>
    <x v="0"/>
  </r>
  <r>
    <x v="25"/>
    <x v="25"/>
    <x v="19"/>
    <x v="6"/>
    <x v="2"/>
    <x v="0"/>
    <x v="3"/>
    <x v="7"/>
    <x v="3"/>
    <x v="1"/>
    <x v="0"/>
  </r>
  <r>
    <x v="26"/>
    <x v="26"/>
    <x v="5"/>
    <x v="0"/>
    <x v="2"/>
    <x v="0"/>
    <x v="3"/>
    <x v="4"/>
    <x v="3"/>
    <x v="2"/>
    <x v="0"/>
  </r>
  <r>
    <x v="27"/>
    <x v="27"/>
    <x v="22"/>
    <x v="1"/>
    <x v="3"/>
    <x v="0"/>
    <x v="0"/>
    <x v="3"/>
    <x v="0"/>
    <x v="2"/>
    <x v="0"/>
  </r>
  <r>
    <x v="28"/>
    <x v="28"/>
    <x v="2"/>
    <x v="7"/>
    <x v="1"/>
    <x v="1"/>
    <x v="0"/>
    <x v="10"/>
    <x v="0"/>
    <x v="1"/>
    <x v="0"/>
  </r>
  <r>
    <x v="29"/>
    <x v="29"/>
    <x v="23"/>
    <x v="4"/>
    <x v="3"/>
    <x v="1"/>
    <x v="3"/>
    <x v="7"/>
    <x v="3"/>
    <x v="1"/>
    <x v="0"/>
  </r>
  <r>
    <x v="30"/>
    <x v="30"/>
    <x v="23"/>
    <x v="4"/>
    <x v="2"/>
    <x v="1"/>
    <x v="1"/>
    <x v="8"/>
    <x v="1"/>
    <x v="1"/>
    <x v="1"/>
  </r>
  <r>
    <x v="31"/>
    <x v="31"/>
    <x v="24"/>
    <x v="6"/>
    <x v="1"/>
    <x v="1"/>
    <x v="3"/>
    <x v="0"/>
    <x v="3"/>
    <x v="2"/>
    <x v="0"/>
  </r>
  <r>
    <x v="32"/>
    <x v="32"/>
    <x v="6"/>
    <x v="3"/>
    <x v="2"/>
    <x v="1"/>
    <x v="1"/>
    <x v="9"/>
    <x v="1"/>
    <x v="0"/>
    <x v="1"/>
  </r>
  <r>
    <x v="33"/>
    <x v="33"/>
    <x v="25"/>
    <x v="1"/>
    <x v="1"/>
    <x v="0"/>
    <x v="3"/>
    <x v="11"/>
    <x v="3"/>
    <x v="0"/>
    <x v="0"/>
  </r>
  <r>
    <x v="34"/>
    <x v="34"/>
    <x v="26"/>
    <x v="6"/>
    <x v="3"/>
    <x v="0"/>
    <x v="1"/>
    <x v="12"/>
    <x v="1"/>
    <x v="0"/>
    <x v="1"/>
  </r>
  <r>
    <x v="35"/>
    <x v="35"/>
    <x v="27"/>
    <x v="5"/>
    <x v="0"/>
    <x v="1"/>
    <x v="2"/>
    <x v="0"/>
    <x v="2"/>
    <x v="1"/>
    <x v="1"/>
  </r>
  <r>
    <x v="36"/>
    <x v="36"/>
    <x v="28"/>
    <x v="0"/>
    <x v="1"/>
    <x v="0"/>
    <x v="1"/>
    <x v="12"/>
    <x v="1"/>
    <x v="2"/>
    <x v="1"/>
  </r>
  <r>
    <x v="37"/>
    <x v="37"/>
    <x v="29"/>
    <x v="5"/>
    <x v="0"/>
    <x v="1"/>
    <x v="1"/>
    <x v="11"/>
    <x v="1"/>
    <x v="0"/>
    <x v="1"/>
  </r>
  <r>
    <x v="38"/>
    <x v="38"/>
    <x v="30"/>
    <x v="5"/>
    <x v="0"/>
    <x v="0"/>
    <x v="1"/>
    <x v="4"/>
    <x v="1"/>
    <x v="2"/>
    <x v="1"/>
  </r>
  <r>
    <x v="39"/>
    <x v="39"/>
    <x v="7"/>
    <x v="6"/>
    <x v="3"/>
    <x v="0"/>
    <x v="0"/>
    <x v="0"/>
    <x v="0"/>
    <x v="0"/>
    <x v="0"/>
  </r>
  <r>
    <x v="40"/>
    <x v="40"/>
    <x v="31"/>
    <x v="2"/>
    <x v="0"/>
    <x v="0"/>
    <x v="1"/>
    <x v="11"/>
    <x v="1"/>
    <x v="2"/>
    <x v="1"/>
  </r>
  <r>
    <x v="41"/>
    <x v="41"/>
    <x v="32"/>
    <x v="3"/>
    <x v="0"/>
    <x v="1"/>
    <x v="3"/>
    <x v="0"/>
    <x v="3"/>
    <x v="2"/>
    <x v="0"/>
  </r>
  <r>
    <x v="42"/>
    <x v="42"/>
    <x v="33"/>
    <x v="4"/>
    <x v="1"/>
    <x v="1"/>
    <x v="0"/>
    <x v="4"/>
    <x v="0"/>
    <x v="1"/>
    <x v="0"/>
  </r>
  <r>
    <x v="43"/>
    <x v="43"/>
    <x v="34"/>
    <x v="0"/>
    <x v="0"/>
    <x v="1"/>
    <x v="3"/>
    <x v="9"/>
    <x v="3"/>
    <x v="2"/>
    <x v="0"/>
  </r>
  <r>
    <x v="44"/>
    <x v="44"/>
    <x v="35"/>
    <x v="6"/>
    <x v="1"/>
    <x v="1"/>
    <x v="0"/>
    <x v="2"/>
    <x v="0"/>
    <x v="0"/>
    <x v="0"/>
  </r>
  <r>
    <x v="45"/>
    <x v="45"/>
    <x v="33"/>
    <x v="7"/>
    <x v="3"/>
    <x v="1"/>
    <x v="3"/>
    <x v="0"/>
    <x v="3"/>
    <x v="1"/>
    <x v="0"/>
  </r>
  <r>
    <x v="46"/>
    <x v="46"/>
    <x v="36"/>
    <x v="0"/>
    <x v="1"/>
    <x v="1"/>
    <x v="0"/>
    <x v="10"/>
    <x v="0"/>
    <x v="0"/>
    <x v="0"/>
  </r>
  <r>
    <x v="47"/>
    <x v="47"/>
    <x v="19"/>
    <x v="1"/>
    <x v="1"/>
    <x v="0"/>
    <x v="3"/>
    <x v="0"/>
    <x v="3"/>
    <x v="1"/>
    <x v="0"/>
  </r>
  <r>
    <x v="48"/>
    <x v="48"/>
    <x v="37"/>
    <x v="2"/>
    <x v="1"/>
    <x v="1"/>
    <x v="1"/>
    <x v="8"/>
    <x v="1"/>
    <x v="0"/>
    <x v="1"/>
  </r>
  <r>
    <x v="49"/>
    <x v="49"/>
    <x v="38"/>
    <x v="5"/>
    <x v="2"/>
    <x v="0"/>
    <x v="2"/>
    <x v="13"/>
    <x v="2"/>
    <x v="1"/>
    <x v="1"/>
  </r>
  <r>
    <x v="50"/>
    <x v="50"/>
    <x v="39"/>
    <x v="2"/>
    <x v="3"/>
    <x v="1"/>
    <x v="3"/>
    <x v="14"/>
    <x v="3"/>
    <x v="2"/>
    <x v="0"/>
  </r>
  <r>
    <x v="51"/>
    <x v="51"/>
    <x v="40"/>
    <x v="1"/>
    <x v="1"/>
    <x v="1"/>
    <x v="0"/>
    <x v="0"/>
    <x v="0"/>
    <x v="0"/>
    <x v="0"/>
  </r>
  <r>
    <x v="52"/>
    <x v="52"/>
    <x v="20"/>
    <x v="6"/>
    <x v="2"/>
    <x v="0"/>
    <x v="3"/>
    <x v="14"/>
    <x v="3"/>
    <x v="1"/>
    <x v="0"/>
  </r>
  <r>
    <x v="53"/>
    <x v="53"/>
    <x v="34"/>
    <x v="0"/>
    <x v="1"/>
    <x v="1"/>
    <x v="0"/>
    <x v="11"/>
    <x v="0"/>
    <x v="2"/>
    <x v="0"/>
  </r>
  <r>
    <x v="54"/>
    <x v="54"/>
    <x v="11"/>
    <x v="6"/>
    <x v="2"/>
    <x v="1"/>
    <x v="3"/>
    <x v="2"/>
    <x v="3"/>
    <x v="0"/>
    <x v="0"/>
  </r>
  <r>
    <x v="55"/>
    <x v="55"/>
    <x v="35"/>
    <x v="0"/>
    <x v="3"/>
    <x v="1"/>
    <x v="1"/>
    <x v="15"/>
    <x v="1"/>
    <x v="0"/>
    <x v="1"/>
  </r>
  <r>
    <x v="56"/>
    <x v="56"/>
    <x v="27"/>
    <x v="7"/>
    <x v="0"/>
    <x v="0"/>
    <x v="1"/>
    <x v="5"/>
    <x v="1"/>
    <x v="1"/>
    <x v="1"/>
  </r>
  <r>
    <x v="57"/>
    <x v="57"/>
    <x v="41"/>
    <x v="0"/>
    <x v="3"/>
    <x v="0"/>
    <x v="2"/>
    <x v="4"/>
    <x v="2"/>
    <x v="1"/>
    <x v="1"/>
  </r>
  <r>
    <x v="58"/>
    <x v="58"/>
    <x v="18"/>
    <x v="6"/>
    <x v="3"/>
    <x v="1"/>
    <x v="1"/>
    <x v="6"/>
    <x v="1"/>
    <x v="0"/>
    <x v="1"/>
  </r>
  <r>
    <x v="59"/>
    <x v="59"/>
    <x v="42"/>
    <x v="3"/>
    <x v="2"/>
    <x v="1"/>
    <x v="3"/>
    <x v="0"/>
    <x v="3"/>
    <x v="2"/>
    <x v="0"/>
  </r>
  <r>
    <x v="60"/>
    <x v="60"/>
    <x v="28"/>
    <x v="5"/>
    <x v="2"/>
    <x v="0"/>
    <x v="0"/>
    <x v="14"/>
    <x v="0"/>
    <x v="2"/>
    <x v="0"/>
  </r>
  <r>
    <x v="61"/>
    <x v="61"/>
    <x v="43"/>
    <x v="6"/>
    <x v="1"/>
    <x v="1"/>
    <x v="2"/>
    <x v="16"/>
    <x v="2"/>
    <x v="2"/>
    <x v="1"/>
  </r>
  <r>
    <x v="62"/>
    <x v="62"/>
    <x v="3"/>
    <x v="0"/>
    <x v="2"/>
    <x v="0"/>
    <x v="3"/>
    <x v="5"/>
    <x v="3"/>
    <x v="1"/>
    <x v="0"/>
  </r>
  <r>
    <x v="63"/>
    <x v="63"/>
    <x v="44"/>
    <x v="0"/>
    <x v="0"/>
    <x v="0"/>
    <x v="0"/>
    <x v="3"/>
    <x v="0"/>
    <x v="0"/>
    <x v="0"/>
  </r>
  <r>
    <x v="64"/>
    <x v="64"/>
    <x v="38"/>
    <x v="2"/>
    <x v="2"/>
    <x v="1"/>
    <x v="0"/>
    <x v="5"/>
    <x v="0"/>
    <x v="1"/>
    <x v="0"/>
  </r>
  <r>
    <x v="65"/>
    <x v="65"/>
    <x v="15"/>
    <x v="4"/>
    <x v="2"/>
    <x v="1"/>
    <x v="0"/>
    <x v="10"/>
    <x v="0"/>
    <x v="0"/>
    <x v="0"/>
  </r>
  <r>
    <x v="66"/>
    <x v="66"/>
    <x v="3"/>
    <x v="3"/>
    <x v="1"/>
    <x v="0"/>
    <x v="3"/>
    <x v="2"/>
    <x v="3"/>
    <x v="1"/>
    <x v="0"/>
  </r>
  <r>
    <x v="67"/>
    <x v="67"/>
    <x v="45"/>
    <x v="7"/>
    <x v="1"/>
    <x v="1"/>
    <x v="2"/>
    <x v="2"/>
    <x v="2"/>
    <x v="1"/>
    <x v="1"/>
  </r>
  <r>
    <x v="68"/>
    <x v="68"/>
    <x v="46"/>
    <x v="6"/>
    <x v="2"/>
    <x v="1"/>
    <x v="2"/>
    <x v="9"/>
    <x v="2"/>
    <x v="0"/>
    <x v="1"/>
  </r>
  <r>
    <x v="69"/>
    <x v="69"/>
    <x v="47"/>
    <x v="2"/>
    <x v="1"/>
    <x v="1"/>
    <x v="0"/>
    <x v="3"/>
    <x v="0"/>
    <x v="0"/>
    <x v="0"/>
  </r>
  <r>
    <x v="70"/>
    <x v="70"/>
    <x v="39"/>
    <x v="1"/>
    <x v="0"/>
    <x v="1"/>
    <x v="2"/>
    <x v="3"/>
    <x v="2"/>
    <x v="2"/>
    <x v="1"/>
  </r>
  <r>
    <x v="71"/>
    <x v="71"/>
    <x v="48"/>
    <x v="1"/>
    <x v="1"/>
    <x v="1"/>
    <x v="3"/>
    <x v="4"/>
    <x v="3"/>
    <x v="2"/>
    <x v="0"/>
  </r>
  <r>
    <x v="72"/>
    <x v="72"/>
    <x v="49"/>
    <x v="2"/>
    <x v="2"/>
    <x v="0"/>
    <x v="3"/>
    <x v="0"/>
    <x v="3"/>
    <x v="0"/>
    <x v="0"/>
  </r>
  <r>
    <x v="73"/>
    <x v="73"/>
    <x v="11"/>
    <x v="1"/>
    <x v="0"/>
    <x v="1"/>
    <x v="4"/>
    <x v="5"/>
    <x v="4"/>
    <x v="0"/>
    <x v="2"/>
  </r>
  <r>
    <x v="74"/>
    <x v="74"/>
    <x v="27"/>
    <x v="2"/>
    <x v="2"/>
    <x v="0"/>
    <x v="1"/>
    <x v="6"/>
    <x v="1"/>
    <x v="1"/>
    <x v="1"/>
  </r>
  <r>
    <x v="75"/>
    <x v="75"/>
    <x v="50"/>
    <x v="4"/>
    <x v="0"/>
    <x v="1"/>
    <x v="2"/>
    <x v="3"/>
    <x v="2"/>
    <x v="1"/>
    <x v="1"/>
  </r>
  <r>
    <x v="76"/>
    <x v="76"/>
    <x v="51"/>
    <x v="0"/>
    <x v="1"/>
    <x v="0"/>
    <x v="2"/>
    <x v="16"/>
    <x v="2"/>
    <x v="0"/>
    <x v="1"/>
  </r>
  <r>
    <x v="77"/>
    <x v="77"/>
    <x v="52"/>
    <x v="3"/>
    <x v="3"/>
    <x v="0"/>
    <x v="1"/>
    <x v="17"/>
    <x v="1"/>
    <x v="2"/>
    <x v="1"/>
  </r>
  <r>
    <x v="78"/>
    <x v="78"/>
    <x v="37"/>
    <x v="5"/>
    <x v="3"/>
    <x v="0"/>
    <x v="1"/>
    <x v="1"/>
    <x v="1"/>
    <x v="0"/>
    <x v="1"/>
  </r>
  <r>
    <x v="79"/>
    <x v="79"/>
    <x v="16"/>
    <x v="1"/>
    <x v="3"/>
    <x v="1"/>
    <x v="3"/>
    <x v="8"/>
    <x v="3"/>
    <x v="1"/>
    <x v="0"/>
  </r>
  <r>
    <x v="80"/>
    <x v="80"/>
    <x v="41"/>
    <x v="1"/>
    <x v="0"/>
    <x v="1"/>
    <x v="3"/>
    <x v="14"/>
    <x v="3"/>
    <x v="1"/>
    <x v="0"/>
  </r>
  <r>
    <x v="81"/>
    <x v="81"/>
    <x v="30"/>
    <x v="5"/>
    <x v="1"/>
    <x v="1"/>
    <x v="0"/>
    <x v="6"/>
    <x v="0"/>
    <x v="2"/>
    <x v="0"/>
  </r>
  <r>
    <x v="82"/>
    <x v="82"/>
    <x v="53"/>
    <x v="0"/>
    <x v="3"/>
    <x v="0"/>
    <x v="3"/>
    <x v="0"/>
    <x v="3"/>
    <x v="0"/>
    <x v="0"/>
  </r>
  <r>
    <x v="83"/>
    <x v="83"/>
    <x v="54"/>
    <x v="0"/>
    <x v="1"/>
    <x v="0"/>
    <x v="0"/>
    <x v="10"/>
    <x v="0"/>
    <x v="2"/>
    <x v="0"/>
  </r>
  <r>
    <x v="84"/>
    <x v="84"/>
    <x v="2"/>
    <x v="4"/>
    <x v="1"/>
    <x v="1"/>
    <x v="3"/>
    <x v="6"/>
    <x v="3"/>
    <x v="1"/>
    <x v="0"/>
  </r>
  <r>
    <x v="85"/>
    <x v="85"/>
    <x v="50"/>
    <x v="1"/>
    <x v="1"/>
    <x v="0"/>
    <x v="1"/>
    <x v="14"/>
    <x v="1"/>
    <x v="1"/>
    <x v="1"/>
  </r>
  <r>
    <x v="86"/>
    <x v="86"/>
    <x v="38"/>
    <x v="7"/>
    <x v="3"/>
    <x v="1"/>
    <x v="0"/>
    <x v="10"/>
    <x v="0"/>
    <x v="1"/>
    <x v="0"/>
  </r>
  <r>
    <x v="87"/>
    <x v="87"/>
    <x v="42"/>
    <x v="3"/>
    <x v="2"/>
    <x v="0"/>
    <x v="3"/>
    <x v="4"/>
    <x v="3"/>
    <x v="2"/>
    <x v="0"/>
  </r>
  <r>
    <x v="88"/>
    <x v="88"/>
    <x v="2"/>
    <x v="0"/>
    <x v="1"/>
    <x v="1"/>
    <x v="2"/>
    <x v="1"/>
    <x v="2"/>
    <x v="1"/>
    <x v="1"/>
  </r>
  <r>
    <x v="89"/>
    <x v="89"/>
    <x v="55"/>
    <x v="4"/>
    <x v="0"/>
    <x v="1"/>
    <x v="3"/>
    <x v="10"/>
    <x v="3"/>
    <x v="2"/>
    <x v="0"/>
  </r>
  <r>
    <x v="90"/>
    <x v="90"/>
    <x v="56"/>
    <x v="3"/>
    <x v="3"/>
    <x v="0"/>
    <x v="0"/>
    <x v="2"/>
    <x v="0"/>
    <x v="1"/>
    <x v="0"/>
  </r>
  <r>
    <x v="91"/>
    <x v="91"/>
    <x v="29"/>
    <x v="2"/>
    <x v="0"/>
    <x v="0"/>
    <x v="3"/>
    <x v="2"/>
    <x v="3"/>
    <x v="0"/>
    <x v="0"/>
  </r>
  <r>
    <x v="92"/>
    <x v="92"/>
    <x v="11"/>
    <x v="4"/>
    <x v="2"/>
    <x v="1"/>
    <x v="2"/>
    <x v="2"/>
    <x v="2"/>
    <x v="0"/>
    <x v="1"/>
  </r>
  <r>
    <x v="93"/>
    <x v="93"/>
    <x v="3"/>
    <x v="6"/>
    <x v="1"/>
    <x v="0"/>
    <x v="1"/>
    <x v="10"/>
    <x v="1"/>
    <x v="1"/>
    <x v="1"/>
  </r>
  <r>
    <x v="94"/>
    <x v="94"/>
    <x v="57"/>
    <x v="4"/>
    <x v="3"/>
    <x v="1"/>
    <x v="1"/>
    <x v="0"/>
    <x v="1"/>
    <x v="0"/>
    <x v="1"/>
  </r>
  <r>
    <x v="95"/>
    <x v="95"/>
    <x v="28"/>
    <x v="3"/>
    <x v="1"/>
    <x v="1"/>
    <x v="1"/>
    <x v="13"/>
    <x v="1"/>
    <x v="2"/>
    <x v="1"/>
  </r>
  <r>
    <x v="96"/>
    <x v="96"/>
    <x v="5"/>
    <x v="1"/>
    <x v="2"/>
    <x v="1"/>
    <x v="3"/>
    <x v="7"/>
    <x v="3"/>
    <x v="2"/>
    <x v="0"/>
  </r>
  <r>
    <x v="97"/>
    <x v="97"/>
    <x v="8"/>
    <x v="3"/>
    <x v="1"/>
    <x v="1"/>
    <x v="0"/>
    <x v="2"/>
    <x v="0"/>
    <x v="1"/>
    <x v="0"/>
  </r>
  <r>
    <x v="98"/>
    <x v="98"/>
    <x v="7"/>
    <x v="4"/>
    <x v="3"/>
    <x v="1"/>
    <x v="0"/>
    <x v="2"/>
    <x v="0"/>
    <x v="0"/>
    <x v="0"/>
  </r>
  <r>
    <x v="99"/>
    <x v="99"/>
    <x v="58"/>
    <x v="2"/>
    <x v="1"/>
    <x v="1"/>
    <x v="1"/>
    <x v="5"/>
    <x v="1"/>
    <x v="1"/>
    <x v="1"/>
  </r>
  <r>
    <x v="100"/>
    <x v="100"/>
    <x v="43"/>
    <x v="4"/>
    <x v="2"/>
    <x v="1"/>
    <x v="4"/>
    <x v="5"/>
    <x v="4"/>
    <x v="2"/>
    <x v="2"/>
  </r>
  <r>
    <x v="101"/>
    <x v="101"/>
    <x v="41"/>
    <x v="4"/>
    <x v="0"/>
    <x v="0"/>
    <x v="3"/>
    <x v="2"/>
    <x v="3"/>
    <x v="1"/>
    <x v="0"/>
  </r>
  <r>
    <x v="102"/>
    <x v="102"/>
    <x v="5"/>
    <x v="7"/>
    <x v="3"/>
    <x v="0"/>
    <x v="3"/>
    <x v="11"/>
    <x v="3"/>
    <x v="2"/>
    <x v="0"/>
  </r>
  <r>
    <x v="103"/>
    <x v="103"/>
    <x v="5"/>
    <x v="4"/>
    <x v="0"/>
    <x v="1"/>
    <x v="0"/>
    <x v="4"/>
    <x v="0"/>
    <x v="2"/>
    <x v="0"/>
  </r>
  <r>
    <x v="104"/>
    <x v="104"/>
    <x v="42"/>
    <x v="0"/>
    <x v="0"/>
    <x v="1"/>
    <x v="1"/>
    <x v="15"/>
    <x v="1"/>
    <x v="2"/>
    <x v="1"/>
  </r>
  <r>
    <x v="105"/>
    <x v="105"/>
    <x v="39"/>
    <x v="1"/>
    <x v="3"/>
    <x v="0"/>
    <x v="3"/>
    <x v="7"/>
    <x v="3"/>
    <x v="2"/>
    <x v="0"/>
  </r>
  <r>
    <x v="106"/>
    <x v="106"/>
    <x v="58"/>
    <x v="4"/>
    <x v="0"/>
    <x v="0"/>
    <x v="1"/>
    <x v="8"/>
    <x v="1"/>
    <x v="1"/>
    <x v="1"/>
  </r>
  <r>
    <x v="107"/>
    <x v="107"/>
    <x v="59"/>
    <x v="0"/>
    <x v="2"/>
    <x v="1"/>
    <x v="3"/>
    <x v="7"/>
    <x v="3"/>
    <x v="1"/>
    <x v="0"/>
  </r>
  <r>
    <x v="108"/>
    <x v="108"/>
    <x v="56"/>
    <x v="0"/>
    <x v="0"/>
    <x v="1"/>
    <x v="0"/>
    <x v="10"/>
    <x v="0"/>
    <x v="1"/>
    <x v="0"/>
  </r>
  <r>
    <x v="109"/>
    <x v="109"/>
    <x v="60"/>
    <x v="1"/>
    <x v="2"/>
    <x v="0"/>
    <x v="0"/>
    <x v="4"/>
    <x v="0"/>
    <x v="2"/>
    <x v="0"/>
  </r>
  <r>
    <x v="110"/>
    <x v="110"/>
    <x v="31"/>
    <x v="0"/>
    <x v="2"/>
    <x v="0"/>
    <x v="0"/>
    <x v="6"/>
    <x v="0"/>
    <x v="2"/>
    <x v="0"/>
  </r>
  <r>
    <x v="111"/>
    <x v="111"/>
    <x v="8"/>
    <x v="1"/>
    <x v="3"/>
    <x v="0"/>
    <x v="3"/>
    <x v="0"/>
    <x v="3"/>
    <x v="1"/>
    <x v="0"/>
  </r>
  <r>
    <x v="112"/>
    <x v="112"/>
    <x v="47"/>
    <x v="2"/>
    <x v="1"/>
    <x v="0"/>
    <x v="3"/>
    <x v="7"/>
    <x v="3"/>
    <x v="0"/>
    <x v="0"/>
  </r>
  <r>
    <x v="113"/>
    <x v="113"/>
    <x v="61"/>
    <x v="4"/>
    <x v="2"/>
    <x v="1"/>
    <x v="2"/>
    <x v="13"/>
    <x v="2"/>
    <x v="0"/>
    <x v="1"/>
  </r>
  <r>
    <x v="114"/>
    <x v="114"/>
    <x v="62"/>
    <x v="7"/>
    <x v="0"/>
    <x v="0"/>
    <x v="0"/>
    <x v="6"/>
    <x v="0"/>
    <x v="2"/>
    <x v="0"/>
  </r>
  <r>
    <x v="115"/>
    <x v="115"/>
    <x v="56"/>
    <x v="1"/>
    <x v="2"/>
    <x v="1"/>
    <x v="3"/>
    <x v="14"/>
    <x v="3"/>
    <x v="1"/>
    <x v="0"/>
  </r>
  <r>
    <x v="116"/>
    <x v="116"/>
    <x v="25"/>
    <x v="1"/>
    <x v="0"/>
    <x v="0"/>
    <x v="1"/>
    <x v="14"/>
    <x v="1"/>
    <x v="0"/>
    <x v="1"/>
  </r>
  <r>
    <x v="117"/>
    <x v="117"/>
    <x v="43"/>
    <x v="0"/>
    <x v="3"/>
    <x v="1"/>
    <x v="1"/>
    <x v="8"/>
    <x v="1"/>
    <x v="2"/>
    <x v="1"/>
  </r>
  <r>
    <x v="118"/>
    <x v="118"/>
    <x v="47"/>
    <x v="2"/>
    <x v="1"/>
    <x v="0"/>
    <x v="2"/>
    <x v="12"/>
    <x v="2"/>
    <x v="0"/>
    <x v="1"/>
  </r>
  <r>
    <x v="119"/>
    <x v="119"/>
    <x v="0"/>
    <x v="0"/>
    <x v="1"/>
    <x v="1"/>
    <x v="3"/>
    <x v="14"/>
    <x v="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LoanPivot1" cacheId="0" applyNumberFormats="0" applyBorderFormats="0" applyFontFormats="0" applyPatternFormats="0" applyAlignmentFormats="0" applyWidthHeightFormats="0" dataCaption="Values" updatedVersion="6" minRefreshableVersion="3" createdVersion="6" multipleFieldFilters="0">
  <location ref="A3:B6" firstHeaderRow="0" firstDataRow="0" firstDataCol="1"/>
  <pivotFields count="11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dataFields count="1">
    <dataField name="Count of Application_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LoanPivot2" cacheId="0" applyNumberFormats="0" applyBorderFormats="0" applyFontFormats="0" applyPatternFormats="0" applyAlignmentFormats="0" applyWidthHeightFormats="0" dataCaption="Values" updatedVersion="6" minRefreshableVersion="3" createdVersion="6" multipleFieldFilters="0">
  <location ref="A11:B15" firstHeaderRow="0" firstDataRow="0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dataFields count="1">
    <dataField name="Count of Application_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LoanPivot4" cacheId="0" applyNumberFormats="0" applyBorderFormats="0" applyFontFormats="0" applyPatternFormats="0" applyAlignmentFormats="0" applyWidthHeightFormats="0" dataCaption="Values" updatedVersion="6" minRefreshableVersion="3" createdVersion="6" multipleFieldFilters="0">
  <location ref="A13:B18" firstHeaderRow="0" firstDataRow="0" firstDataCol="1"/>
  <pivotFields count="11">
    <pivotField dataField="1"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dataFields count="1">
    <dataField name="Count of Application_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LoanPivot3" cacheId="0" applyNumberFormats="0" applyBorderFormats="0" applyFontFormats="0" applyPatternFormats="0" applyAlignmentFormats="0" applyWidthHeightFormats="0" dataCaption="Values" updatedVersion="6" minRefreshableVersion="3" createdVersion="6" multipleFieldFilters="0">
  <location ref="A3:B8" firstHeaderRow="0" firstDataRow="0" firstDataCol="1"/>
  <pivotFields count="11">
    <pivotField showAll="0"/>
    <pivotField showAll="0"/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dataFields count="1">
    <dataField name="Sum of Requested_Amount_JOD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LoanPivot5" cacheId="0" applyNumberFormats="0" applyBorderFormats="0" applyFontFormats="0" applyPatternFormats="0" applyAlignmentFormats="0" applyWidthHeightFormats="0" dataCaption="Values" updatedVersion="6" minRefreshableVersion="3" createdVersion="6" multipleFieldFilters="0">
  <location ref="A3:B9" firstHeaderRow="0" firstDataRow="0" firstDataCol="1"/>
  <pivotFields count="11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dataFields count="1">
    <dataField name="Count of Application_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LoanPivot6" cacheId="0" applyNumberFormats="0" applyBorderFormats="0" applyFontFormats="0" applyPatternFormats="0" applyAlignmentFormats="0" applyWidthHeightFormats="0" dataCaption="Values" updatedVersion="6" minRefreshableVersion="3" createdVersion="6" multipleFieldFilters="0">
  <location ref="A13:B19" firstHeaderRow="0" firstDataRow="0" firstDataCol="1"/>
  <pivotFields count="11"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dataFields count="1">
    <dataField name="Sum of Requested_Amount_JOD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7000000}" name="LoanPivot7" cacheId="0" applyNumberFormats="0" applyBorderFormats="0" applyFontFormats="0" applyPatternFormats="0" applyAlignmentFormats="0" applyWidthHeightFormats="0" dataCaption="Values" updatedVersion="6" minRefreshableVersion="3" createdVersion="6" multipleFieldFilters="0">
  <location ref="A3:B9" firstHeaderRow="0" firstDataRow="0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dataFields count="1">
    <dataField name="Count of Application_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6000000}" name="LoanPivot8" cacheId="0" applyNumberFormats="0" applyBorderFormats="0" applyFontFormats="0" applyPatternFormats="0" applyAlignmentFormats="0" applyWidthHeightFormats="0" dataCaption="Values" updatedVersion="6" minRefreshableVersion="3" createdVersion="6" multipleFieldFilters="0">
  <location ref="A13:B16" firstHeaderRow="0" firstDataRow="0" firstDataCol="1"/>
  <pivotFields count="11"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dataFields count="1">
    <dataField name="Sum of Requested_Amount_JOD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8000000}" name="LoanPivot9" cacheId="0" applyNumberFormats="0" applyBorderFormats="0" applyFontFormats="0" applyPatternFormats="0" applyAlignmentFormats="0" applyWidthHeightFormats="0" dataCaption="Values" updatedVersion="6" minRefreshableVersion="3" createdVersion="6" multipleFieldFilters="0">
  <location ref="A3:B7" firstHeaderRow="0" firstDataRow="0" firstDataCol="1"/>
  <pivotFields count="11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dataFields count="1">
    <dataField name="Sum of Requested_Amount_JOD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A000000}" name="LoanPivot10" cacheId="0" applyNumberFormats="0" applyBorderFormats="0" applyFontFormats="0" applyPatternFormats="0" applyAlignmentFormats="0" applyWidthHeightFormats="0" dataCaption="Values" updatedVersion="6" minRefreshableVersion="3" createdVersion="6" multipleFieldFilters="0">
  <location ref="A3:B9" firstHeaderRow="0" firstDataRow="0" firstDataCol="1"/>
  <pivotFields count="11"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dataField="1"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dataFields count="1">
    <dataField name="Average of Turnaround_Days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9000000}" name="LoanPivot11" cacheId="0" applyNumberFormats="0" applyBorderFormats="0" applyFontFormats="0" applyPatternFormats="0" applyAlignmentFormats="0" applyWidthHeightFormats="0" dataCaption="Values" updatedVersion="6" minRefreshableVersion="3" createdVersion="6" multipleFieldFilters="0">
  <location ref="A13:B16" firstHeaderRow="0" firstDataRow="0" firstDataCol="1"/>
  <pivotFields count="11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dataFields count="1">
    <dataField name="Average of Turnaround_Days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oanClean" displayName="LoanClean" ref="A1:K121" totalsRowShown="0">
  <tableColumns count="11">
    <tableColumn id="1" xr3:uid="{00000000-0010-0000-0000-000001000000}" name="Application_ID"/>
    <tableColumn id="2" xr3:uid="{00000000-0010-0000-0000-000002000000}" name="Customer_ID"/>
    <tableColumn id="3" xr3:uid="{00000000-0010-0000-0000-000003000000}" name="Submitted_Date"/>
    <tableColumn id="4" xr3:uid="{00000000-0010-0000-0000-000004000000}" name="Requested_Amount_JOD"/>
    <tableColumn id="5" xr3:uid="{00000000-0010-0000-0000-000005000000}" name="Term_Months"/>
    <tableColumn id="6" xr3:uid="{00000000-0010-0000-0000-000006000000}" name="Employment_Type"/>
    <tableColumn id="7" xr3:uid="{00000000-0010-0000-0000-000007000000}" name="Current_Status"/>
    <tableColumn id="8" xr3:uid="{00000000-0010-0000-0000-000008000000}" name="Turnaround_Days"/>
    <tableColumn id="9" xr3:uid="{00000000-0010-0000-0000-000009000000}" name="Current_or_Decision_Reason"/>
    <tableColumn id="10" xr3:uid="{00000000-0010-0000-0000-00000A000000}" name="Submission_Month"/>
    <tableColumn id="11" xr3:uid="{00000000-0010-0000-0000-00000B000000}" name="Case_Grou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LoanRaw" displayName="LoanRaw" ref="A1:I121" totalsRowShown="0">
  <tableColumns count="9">
    <tableColumn id="1" xr3:uid="{00000000-0010-0000-0100-000001000000}" name="Application_ID"/>
    <tableColumn id="2" xr3:uid="{00000000-0010-0000-0100-000002000000}" name="Customer_ID"/>
    <tableColumn id="3" xr3:uid="{00000000-0010-0000-0100-000003000000}" name="Submitted_Date"/>
    <tableColumn id="4" xr3:uid="{00000000-0010-0000-0100-000004000000}" name="Requested_Amount_JOD"/>
    <tableColumn id="5" xr3:uid="{00000000-0010-0000-0100-000005000000}" name="Term_Months"/>
    <tableColumn id="6" xr3:uid="{00000000-0010-0000-0100-000006000000}" name="Employment_Type"/>
    <tableColumn id="7" xr3:uid="{00000000-0010-0000-0100-000007000000}" name="Current_Status"/>
    <tableColumn id="8" xr3:uid="{00000000-0010-0000-0100-000008000000}" name="Turnaround_Days"/>
    <tableColumn id="9" xr3:uid="{00000000-0010-0000-0100-000009000000}" name="Current_or_Decision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showGridLines="0" topLeftCell="A7" workbookViewId="0">
      <selection activeCell="A11" sqref="A11:XFD15"/>
    </sheetView>
  </sheetViews>
  <sheetFormatPr defaultRowHeight="13.8"/>
  <cols>
    <col min="1" max="1" width="39" customWidth="1"/>
    <col min="2" max="2" width="27" customWidth="1"/>
    <col min="3" max="19" width="10" customWidth="1"/>
  </cols>
  <sheetData>
    <row r="1" spans="1:19" ht="22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.0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36" customHeight="1">
      <c r="A3" s="8" t="s">
        <v>0</v>
      </c>
      <c r="B3" s="8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4" customHeight="1">
      <c r="A4" s="11" t="s">
        <v>2</v>
      </c>
      <c r="B4" s="9">
        <v>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4" customHeight="1">
      <c r="A5" s="11" t="s">
        <v>3</v>
      </c>
      <c r="B5" s="9">
        <v>56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2.05" customHeight="1">
      <c r="A6" s="7" t="s">
        <v>4</v>
      </c>
      <c r="B6" s="10">
        <v>120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2.0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2.0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2.0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2.0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36" customHeight="1">
      <c r="A11" s="8" t="s">
        <v>0</v>
      </c>
      <c r="B11" s="8" t="s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4" customHeight="1">
      <c r="A12" s="11" t="s">
        <v>5</v>
      </c>
      <c r="B12" s="9">
        <v>73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4" customHeight="1">
      <c r="A13" s="11" t="s">
        <v>6</v>
      </c>
      <c r="B13" s="9">
        <v>43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4" customHeight="1">
      <c r="A14" s="11" t="s">
        <v>7</v>
      </c>
      <c r="B14" s="9">
        <v>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2.05" customHeight="1">
      <c r="A15" s="7" t="s">
        <v>4</v>
      </c>
      <c r="B15" s="10">
        <v>120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2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2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2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2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5" spans="1:19" ht="22.0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2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2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2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2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2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2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2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2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2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2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2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2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2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2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2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2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2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2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2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2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2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2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2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2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2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1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6" width="22" customWidth="1"/>
    <col min="7" max="7" width="31" customWidth="1"/>
    <col min="8" max="8" width="22" customWidth="1"/>
    <col min="9" max="9" width="42" customWidth="1"/>
    <col min="10" max="11" width="22" customWidth="1"/>
    <col min="12" max="19" width="10" customWidth="1"/>
  </cols>
  <sheetData>
    <row r="1" spans="1:19" ht="40.049999999999997" customHeight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1"/>
      <c r="M1" s="1"/>
      <c r="N1" s="1"/>
      <c r="O1" s="1"/>
      <c r="P1" s="1"/>
      <c r="Q1" s="1"/>
      <c r="R1" s="1"/>
      <c r="S1" s="1"/>
    </row>
    <row r="2" spans="1:19" ht="22.05" customHeight="1">
      <c r="A2" s="1" t="s">
        <v>19</v>
      </c>
      <c r="B2" s="1" t="s">
        <v>20</v>
      </c>
      <c r="C2" s="3">
        <v>46059</v>
      </c>
      <c r="D2" s="5">
        <v>4000</v>
      </c>
      <c r="E2" s="1">
        <v>24</v>
      </c>
      <c r="F2" s="1" t="s">
        <v>3</v>
      </c>
      <c r="G2" s="1" t="s">
        <v>21</v>
      </c>
      <c r="H2" s="1">
        <v>6</v>
      </c>
      <c r="I2" s="1" t="s">
        <v>22</v>
      </c>
      <c r="J2" s="1" t="s">
        <v>23</v>
      </c>
      <c r="K2" s="1" t="s">
        <v>5</v>
      </c>
      <c r="L2" s="1"/>
      <c r="M2" s="1"/>
      <c r="N2" s="1"/>
      <c r="O2" s="1"/>
      <c r="P2" s="1"/>
      <c r="Q2" s="1"/>
      <c r="R2" s="1"/>
      <c r="S2" s="1"/>
    </row>
    <row r="3" spans="1:19" ht="22.05" customHeight="1">
      <c r="A3" s="1" t="s">
        <v>24</v>
      </c>
      <c r="B3" s="1" t="s">
        <v>25</v>
      </c>
      <c r="C3" s="3">
        <v>46095</v>
      </c>
      <c r="D3" s="5">
        <v>3000</v>
      </c>
      <c r="E3" s="1">
        <v>24</v>
      </c>
      <c r="F3" s="1" t="s">
        <v>2</v>
      </c>
      <c r="G3" s="1" t="s">
        <v>26</v>
      </c>
      <c r="H3" s="1">
        <v>13</v>
      </c>
      <c r="I3" s="1" t="s">
        <v>27</v>
      </c>
      <c r="J3" s="1" t="s">
        <v>28</v>
      </c>
      <c r="K3" s="1" t="s">
        <v>6</v>
      </c>
      <c r="L3" s="1"/>
      <c r="M3" s="1"/>
      <c r="N3" s="1"/>
      <c r="O3" s="1"/>
      <c r="P3" s="1"/>
      <c r="Q3" s="1"/>
      <c r="R3" s="1"/>
      <c r="S3" s="1"/>
    </row>
    <row r="4" spans="1:19" ht="22.05" customHeight="1">
      <c r="A4" s="1" t="s">
        <v>29</v>
      </c>
      <c r="B4" s="1" t="s">
        <v>30</v>
      </c>
      <c r="C4" s="3">
        <v>46083</v>
      </c>
      <c r="D4" s="5">
        <v>6500</v>
      </c>
      <c r="E4" s="1">
        <v>18</v>
      </c>
      <c r="F4" s="1" t="s">
        <v>3</v>
      </c>
      <c r="G4" s="1" t="s">
        <v>31</v>
      </c>
      <c r="H4" s="1">
        <v>5</v>
      </c>
      <c r="I4" s="1" t="s">
        <v>32</v>
      </c>
      <c r="J4" s="1" t="s">
        <v>28</v>
      </c>
      <c r="K4" s="1" t="s">
        <v>6</v>
      </c>
      <c r="L4" s="1"/>
      <c r="M4" s="1"/>
      <c r="N4" s="1"/>
      <c r="O4" s="1"/>
      <c r="P4" s="1"/>
      <c r="Q4" s="1"/>
      <c r="R4" s="1"/>
      <c r="S4" s="1"/>
    </row>
    <row r="5" spans="1:19" ht="22.05" customHeight="1">
      <c r="A5" s="1" t="s">
        <v>33</v>
      </c>
      <c r="B5" s="1" t="s">
        <v>34</v>
      </c>
      <c r="C5" s="3">
        <v>46085</v>
      </c>
      <c r="D5" s="5">
        <v>3000</v>
      </c>
      <c r="E5" s="1">
        <v>12</v>
      </c>
      <c r="F5" s="1" t="s">
        <v>2</v>
      </c>
      <c r="G5" s="1" t="s">
        <v>35</v>
      </c>
      <c r="H5" s="1">
        <v>6</v>
      </c>
      <c r="I5" s="1" t="s">
        <v>36</v>
      </c>
      <c r="J5" s="1" t="s">
        <v>28</v>
      </c>
      <c r="K5" s="1" t="s">
        <v>5</v>
      </c>
      <c r="L5" s="1"/>
      <c r="M5" s="1"/>
      <c r="N5" s="1"/>
      <c r="O5" s="1"/>
      <c r="P5" s="1"/>
      <c r="Q5" s="1"/>
      <c r="R5" s="1"/>
      <c r="S5" s="1"/>
    </row>
    <row r="6" spans="1:19" ht="22.05" customHeight="1">
      <c r="A6" s="1" t="s">
        <v>37</v>
      </c>
      <c r="B6" s="1" t="s">
        <v>38</v>
      </c>
      <c r="C6" s="3">
        <v>46086</v>
      </c>
      <c r="D6" s="5">
        <v>8000</v>
      </c>
      <c r="E6" s="1">
        <v>36</v>
      </c>
      <c r="F6" s="1" t="s">
        <v>2</v>
      </c>
      <c r="G6" s="1" t="s">
        <v>21</v>
      </c>
      <c r="H6" s="1">
        <v>11</v>
      </c>
      <c r="I6" s="1" t="s">
        <v>22</v>
      </c>
      <c r="J6" s="1" t="s">
        <v>28</v>
      </c>
      <c r="K6" s="1" t="s">
        <v>5</v>
      </c>
      <c r="L6" s="1"/>
      <c r="M6" s="1"/>
      <c r="N6" s="1"/>
      <c r="O6" s="1"/>
      <c r="P6" s="1"/>
      <c r="Q6" s="1"/>
      <c r="R6" s="1"/>
      <c r="S6" s="1"/>
    </row>
    <row r="7" spans="1:19" ht="22.05" customHeight="1">
      <c r="A7" s="1" t="s">
        <v>39</v>
      </c>
      <c r="B7" s="1" t="s">
        <v>40</v>
      </c>
      <c r="C7" s="3">
        <v>46047</v>
      </c>
      <c r="D7" s="5">
        <v>5000</v>
      </c>
      <c r="E7" s="1">
        <v>24</v>
      </c>
      <c r="F7" s="1" t="s">
        <v>3</v>
      </c>
      <c r="G7" s="1" t="s">
        <v>35</v>
      </c>
      <c r="H7" s="1">
        <v>10</v>
      </c>
      <c r="I7" s="1" t="s">
        <v>36</v>
      </c>
      <c r="J7" s="1" t="s">
        <v>41</v>
      </c>
      <c r="K7" s="1" t="s">
        <v>5</v>
      </c>
      <c r="L7" s="1"/>
      <c r="M7" s="1"/>
      <c r="N7" s="1"/>
      <c r="O7" s="1"/>
      <c r="P7" s="1"/>
      <c r="Q7" s="1"/>
      <c r="R7" s="1"/>
      <c r="S7" s="1"/>
    </row>
    <row r="8" spans="1:19" ht="22.05" customHeight="1">
      <c r="A8" s="1" t="s">
        <v>42</v>
      </c>
      <c r="B8" s="1" t="s">
        <v>43</v>
      </c>
      <c r="C8" s="3">
        <v>46061</v>
      </c>
      <c r="D8" s="5">
        <v>5000</v>
      </c>
      <c r="E8" s="1">
        <v>12</v>
      </c>
      <c r="F8" s="1" t="s">
        <v>3</v>
      </c>
      <c r="G8" s="1" t="s">
        <v>7</v>
      </c>
      <c r="H8" s="1">
        <v>1</v>
      </c>
      <c r="I8" s="1" t="s">
        <v>44</v>
      </c>
      <c r="J8" s="1" t="s">
        <v>23</v>
      </c>
      <c r="K8" s="1" t="s">
        <v>7</v>
      </c>
      <c r="L8" s="1"/>
      <c r="M8" s="1"/>
      <c r="N8" s="1"/>
      <c r="O8" s="1"/>
      <c r="P8" s="1"/>
      <c r="Q8" s="1"/>
      <c r="R8" s="1"/>
      <c r="S8" s="1"/>
    </row>
    <row r="9" spans="1:19" ht="22.05" customHeight="1">
      <c r="A9" s="1" t="s">
        <v>45</v>
      </c>
      <c r="B9" s="1" t="s">
        <v>46</v>
      </c>
      <c r="C9" s="3">
        <v>46056</v>
      </c>
      <c r="D9" s="5">
        <v>5000</v>
      </c>
      <c r="E9" s="1">
        <v>24</v>
      </c>
      <c r="F9" s="1" t="s">
        <v>3</v>
      </c>
      <c r="G9" s="1" t="s">
        <v>7</v>
      </c>
      <c r="H9" s="1">
        <v>2</v>
      </c>
      <c r="I9" s="1" t="s">
        <v>44</v>
      </c>
      <c r="J9" s="1" t="s">
        <v>23</v>
      </c>
      <c r="K9" s="1" t="s">
        <v>7</v>
      </c>
      <c r="L9" s="1"/>
      <c r="M9" s="1"/>
      <c r="N9" s="1"/>
      <c r="O9" s="1"/>
      <c r="P9" s="1"/>
      <c r="Q9" s="1"/>
      <c r="R9" s="1"/>
      <c r="S9" s="1"/>
    </row>
    <row r="10" spans="1:19" ht="22.05" customHeight="1">
      <c r="A10" s="1" t="s">
        <v>47</v>
      </c>
      <c r="B10" s="1" t="s">
        <v>48</v>
      </c>
      <c r="C10" s="3">
        <v>46091</v>
      </c>
      <c r="D10" s="5">
        <v>2500</v>
      </c>
      <c r="E10" s="1">
        <v>24</v>
      </c>
      <c r="F10" s="1" t="s">
        <v>2</v>
      </c>
      <c r="G10" s="1" t="s">
        <v>31</v>
      </c>
      <c r="H10" s="1">
        <v>9</v>
      </c>
      <c r="I10" s="1" t="s">
        <v>32</v>
      </c>
      <c r="J10" s="1" t="s">
        <v>28</v>
      </c>
      <c r="K10" s="1" t="s">
        <v>6</v>
      </c>
      <c r="L10" s="1"/>
      <c r="M10" s="1"/>
      <c r="N10" s="1"/>
      <c r="O10" s="1"/>
      <c r="P10" s="1"/>
      <c r="Q10" s="1"/>
      <c r="R10" s="1"/>
      <c r="S10" s="1"/>
    </row>
    <row r="11" spans="1:19" ht="22.05" customHeight="1">
      <c r="A11" s="1" t="s">
        <v>49</v>
      </c>
      <c r="B11" s="1" t="s">
        <v>50</v>
      </c>
      <c r="C11" s="3">
        <v>46107</v>
      </c>
      <c r="D11" s="5">
        <v>2000</v>
      </c>
      <c r="E11" s="1">
        <v>24</v>
      </c>
      <c r="F11" s="1" t="s">
        <v>2</v>
      </c>
      <c r="G11" s="1" t="s">
        <v>35</v>
      </c>
      <c r="H11" s="1">
        <v>10</v>
      </c>
      <c r="I11" s="1" t="s">
        <v>36</v>
      </c>
      <c r="J11" s="1" t="s">
        <v>28</v>
      </c>
      <c r="K11" s="1" t="s">
        <v>5</v>
      </c>
      <c r="L11" s="1"/>
      <c r="M11" s="1"/>
      <c r="N11" s="1"/>
      <c r="O11" s="1"/>
      <c r="P11" s="1"/>
      <c r="Q11" s="1"/>
      <c r="R11" s="1"/>
      <c r="S11" s="1"/>
    </row>
    <row r="12" spans="1:19" ht="22.05" customHeight="1">
      <c r="A12" s="1" t="s">
        <v>51</v>
      </c>
      <c r="B12" s="1" t="s">
        <v>52</v>
      </c>
      <c r="C12" s="3">
        <v>46077</v>
      </c>
      <c r="D12" s="5">
        <v>5000</v>
      </c>
      <c r="E12" s="1">
        <v>24</v>
      </c>
      <c r="F12" s="1" t="s">
        <v>2</v>
      </c>
      <c r="G12" s="1" t="s">
        <v>35</v>
      </c>
      <c r="H12" s="1">
        <v>1</v>
      </c>
      <c r="I12" s="1" t="s">
        <v>36</v>
      </c>
      <c r="J12" s="1" t="s">
        <v>23</v>
      </c>
      <c r="K12" s="1" t="s">
        <v>5</v>
      </c>
      <c r="L12" s="1"/>
      <c r="M12" s="1"/>
      <c r="N12" s="1"/>
      <c r="O12" s="1"/>
      <c r="P12" s="1"/>
      <c r="Q12" s="1"/>
      <c r="R12" s="1"/>
      <c r="S12" s="1"/>
    </row>
    <row r="13" spans="1:19" ht="22.05" customHeight="1">
      <c r="A13" s="1" t="s">
        <v>53</v>
      </c>
      <c r="B13" s="1" t="s">
        <v>54</v>
      </c>
      <c r="C13" s="3">
        <v>46056</v>
      </c>
      <c r="D13" s="5">
        <v>3000</v>
      </c>
      <c r="E13" s="1">
        <v>36</v>
      </c>
      <c r="F13" s="1" t="s">
        <v>3</v>
      </c>
      <c r="G13" s="1" t="s">
        <v>31</v>
      </c>
      <c r="H13" s="1">
        <v>10</v>
      </c>
      <c r="I13" s="1" t="s">
        <v>32</v>
      </c>
      <c r="J13" s="1" t="s">
        <v>23</v>
      </c>
      <c r="K13" s="1" t="s">
        <v>6</v>
      </c>
      <c r="L13" s="1"/>
      <c r="M13" s="1"/>
      <c r="N13" s="1"/>
      <c r="O13" s="1"/>
      <c r="P13" s="1"/>
      <c r="Q13" s="1"/>
      <c r="R13" s="1"/>
      <c r="S13" s="1"/>
    </row>
    <row r="14" spans="1:19" ht="22.05" customHeight="1">
      <c r="A14" s="1" t="s">
        <v>55</v>
      </c>
      <c r="B14" s="1" t="s">
        <v>56</v>
      </c>
      <c r="C14" s="3">
        <v>46077</v>
      </c>
      <c r="D14" s="5">
        <v>2500</v>
      </c>
      <c r="E14" s="1">
        <v>36</v>
      </c>
      <c r="F14" s="1" t="s">
        <v>3</v>
      </c>
      <c r="G14" s="1" t="s">
        <v>31</v>
      </c>
      <c r="H14" s="1">
        <v>13</v>
      </c>
      <c r="I14" s="1" t="s">
        <v>32</v>
      </c>
      <c r="J14" s="1" t="s">
        <v>23</v>
      </c>
      <c r="K14" s="1" t="s">
        <v>6</v>
      </c>
      <c r="L14" s="1"/>
      <c r="M14" s="1"/>
      <c r="N14" s="1"/>
      <c r="O14" s="1"/>
      <c r="P14" s="1"/>
      <c r="Q14" s="1"/>
      <c r="R14" s="1"/>
      <c r="S14" s="1"/>
    </row>
    <row r="15" spans="1:19" ht="22.05" customHeight="1">
      <c r="A15" s="1" t="s">
        <v>57</v>
      </c>
      <c r="B15" s="1" t="s">
        <v>58</v>
      </c>
      <c r="C15" s="3">
        <v>46085</v>
      </c>
      <c r="D15" s="5">
        <v>4000</v>
      </c>
      <c r="E15" s="1">
        <v>18</v>
      </c>
      <c r="F15" s="1" t="s">
        <v>3</v>
      </c>
      <c r="G15" s="1" t="s">
        <v>35</v>
      </c>
      <c r="H15" s="1">
        <v>3</v>
      </c>
      <c r="I15" s="1" t="s">
        <v>36</v>
      </c>
      <c r="J15" s="1" t="s">
        <v>28</v>
      </c>
      <c r="K15" s="1" t="s">
        <v>5</v>
      </c>
      <c r="L15" s="1"/>
      <c r="M15" s="1"/>
      <c r="N15" s="1"/>
      <c r="O15" s="1"/>
      <c r="P15" s="1"/>
      <c r="Q15" s="1"/>
      <c r="R15" s="1"/>
      <c r="S15" s="1"/>
    </row>
    <row r="16" spans="1:19" ht="22.05" customHeight="1">
      <c r="A16" s="1" t="s">
        <v>59</v>
      </c>
      <c r="B16" s="1" t="s">
        <v>60</v>
      </c>
      <c r="C16" s="3">
        <v>46055</v>
      </c>
      <c r="D16" s="5">
        <v>4000</v>
      </c>
      <c r="E16" s="1">
        <v>18</v>
      </c>
      <c r="F16" s="1" t="s">
        <v>2</v>
      </c>
      <c r="G16" s="1" t="s">
        <v>26</v>
      </c>
      <c r="H16" s="1">
        <v>11</v>
      </c>
      <c r="I16" s="1" t="s">
        <v>27</v>
      </c>
      <c r="J16" s="1" t="s">
        <v>23</v>
      </c>
      <c r="K16" s="1" t="s">
        <v>6</v>
      </c>
      <c r="L16" s="1"/>
      <c r="M16" s="1"/>
      <c r="N16" s="1"/>
      <c r="O16" s="1"/>
      <c r="P16" s="1"/>
      <c r="Q16" s="1"/>
      <c r="R16" s="1"/>
      <c r="S16" s="1"/>
    </row>
    <row r="17" spans="1:19" ht="22.05" customHeight="1">
      <c r="A17" s="1" t="s">
        <v>61</v>
      </c>
      <c r="B17" s="1" t="s">
        <v>62</v>
      </c>
      <c r="C17" s="3">
        <v>46094</v>
      </c>
      <c r="D17" s="5">
        <v>4000</v>
      </c>
      <c r="E17" s="1">
        <v>36</v>
      </c>
      <c r="F17" s="1" t="s">
        <v>3</v>
      </c>
      <c r="G17" s="1" t="s">
        <v>35</v>
      </c>
      <c r="H17" s="1">
        <v>5</v>
      </c>
      <c r="I17" s="1" t="s">
        <v>36</v>
      </c>
      <c r="J17" s="1" t="s">
        <v>28</v>
      </c>
      <c r="K17" s="1" t="s">
        <v>5</v>
      </c>
      <c r="L17" s="1"/>
      <c r="M17" s="1"/>
      <c r="N17" s="1"/>
      <c r="O17" s="1"/>
      <c r="P17" s="1"/>
      <c r="Q17" s="1"/>
      <c r="R17" s="1"/>
      <c r="S17" s="1"/>
    </row>
    <row r="18" spans="1:19" ht="22.05" customHeight="1">
      <c r="A18" s="1" t="s">
        <v>63</v>
      </c>
      <c r="B18" s="1" t="s">
        <v>64</v>
      </c>
      <c r="C18" s="3">
        <v>46090</v>
      </c>
      <c r="D18" s="5">
        <v>3000</v>
      </c>
      <c r="E18" s="1">
        <v>18</v>
      </c>
      <c r="F18" s="1" t="s">
        <v>2</v>
      </c>
      <c r="G18" s="1" t="s">
        <v>21</v>
      </c>
      <c r="H18" s="1">
        <v>4</v>
      </c>
      <c r="I18" s="1" t="s">
        <v>22</v>
      </c>
      <c r="J18" s="1" t="s">
        <v>28</v>
      </c>
      <c r="K18" s="1" t="s">
        <v>5</v>
      </c>
      <c r="L18" s="1"/>
      <c r="M18" s="1"/>
      <c r="N18" s="1"/>
      <c r="O18" s="1"/>
      <c r="P18" s="1"/>
      <c r="Q18" s="1"/>
      <c r="R18" s="1"/>
      <c r="S18" s="1"/>
    </row>
    <row r="19" spans="1:19" ht="22.05" customHeight="1">
      <c r="A19" s="1" t="s">
        <v>65</v>
      </c>
      <c r="B19" s="1" t="s">
        <v>66</v>
      </c>
      <c r="C19" s="3">
        <v>46080</v>
      </c>
      <c r="D19" s="5">
        <v>8000</v>
      </c>
      <c r="E19" s="1">
        <v>36</v>
      </c>
      <c r="F19" s="1" t="s">
        <v>3</v>
      </c>
      <c r="G19" s="1" t="s">
        <v>35</v>
      </c>
      <c r="H19" s="1">
        <v>10</v>
      </c>
      <c r="I19" s="1" t="s">
        <v>36</v>
      </c>
      <c r="J19" s="1" t="s">
        <v>23</v>
      </c>
      <c r="K19" s="1" t="s">
        <v>5</v>
      </c>
      <c r="L19" s="1"/>
      <c r="M19" s="1"/>
      <c r="N19" s="1"/>
      <c r="O19" s="1"/>
      <c r="P19" s="1"/>
      <c r="Q19" s="1"/>
      <c r="R19" s="1"/>
      <c r="S19" s="1"/>
    </row>
    <row r="20" spans="1:19" ht="22.05" customHeight="1">
      <c r="A20" s="1" t="s">
        <v>67</v>
      </c>
      <c r="B20" s="1" t="s">
        <v>68</v>
      </c>
      <c r="C20" s="3">
        <v>46078</v>
      </c>
      <c r="D20" s="5">
        <v>8000</v>
      </c>
      <c r="E20" s="1">
        <v>18</v>
      </c>
      <c r="F20" s="1" t="s">
        <v>3</v>
      </c>
      <c r="G20" s="1" t="s">
        <v>21</v>
      </c>
      <c r="H20" s="1">
        <v>2</v>
      </c>
      <c r="I20" s="1" t="s">
        <v>22</v>
      </c>
      <c r="J20" s="1" t="s">
        <v>23</v>
      </c>
      <c r="K20" s="1" t="s">
        <v>5</v>
      </c>
      <c r="L20" s="1"/>
      <c r="M20" s="1"/>
      <c r="N20" s="1"/>
      <c r="O20" s="1"/>
      <c r="P20" s="1"/>
      <c r="Q20" s="1"/>
      <c r="R20" s="1"/>
      <c r="S20" s="1"/>
    </row>
    <row r="21" spans="1:19" ht="22.05" customHeight="1">
      <c r="A21" s="1" t="s">
        <v>69</v>
      </c>
      <c r="B21" s="1" t="s">
        <v>70</v>
      </c>
      <c r="C21" s="3">
        <v>46082</v>
      </c>
      <c r="D21" s="5">
        <v>3000</v>
      </c>
      <c r="E21" s="1">
        <v>36</v>
      </c>
      <c r="F21" s="1" t="s">
        <v>3</v>
      </c>
      <c r="G21" s="1" t="s">
        <v>21</v>
      </c>
      <c r="H21" s="1">
        <v>6</v>
      </c>
      <c r="I21" s="1" t="s">
        <v>22</v>
      </c>
      <c r="J21" s="1" t="s">
        <v>28</v>
      </c>
      <c r="K21" s="1" t="s">
        <v>5</v>
      </c>
      <c r="L21" s="1"/>
      <c r="M21" s="1"/>
      <c r="N21" s="1"/>
      <c r="O21" s="1"/>
      <c r="P21" s="1"/>
      <c r="Q21" s="1"/>
      <c r="R21" s="1"/>
      <c r="S21" s="1"/>
    </row>
    <row r="22" spans="1:19" ht="22.05" customHeight="1">
      <c r="A22" s="1" t="s">
        <v>71</v>
      </c>
      <c r="B22" s="1" t="s">
        <v>72</v>
      </c>
      <c r="C22" s="3">
        <v>46089</v>
      </c>
      <c r="D22" s="5">
        <v>5000</v>
      </c>
      <c r="E22" s="1">
        <v>24</v>
      </c>
      <c r="F22" s="1" t="s">
        <v>2</v>
      </c>
      <c r="G22" s="1" t="s">
        <v>26</v>
      </c>
      <c r="H22" s="1">
        <v>6</v>
      </c>
      <c r="I22" s="1" t="s">
        <v>27</v>
      </c>
      <c r="J22" s="1" t="s">
        <v>28</v>
      </c>
      <c r="K22" s="1" t="s">
        <v>6</v>
      </c>
      <c r="L22" s="1"/>
      <c r="M22" s="1"/>
      <c r="N22" s="1"/>
      <c r="O22" s="1"/>
      <c r="P22" s="1"/>
      <c r="Q22" s="1"/>
      <c r="R22" s="1"/>
      <c r="S22" s="1"/>
    </row>
    <row r="23" spans="1:19" ht="22.05" customHeight="1">
      <c r="A23" s="1" t="s">
        <v>73</v>
      </c>
      <c r="B23" s="1" t="s">
        <v>74</v>
      </c>
      <c r="C23" s="3">
        <v>46065</v>
      </c>
      <c r="D23" s="5">
        <v>3000</v>
      </c>
      <c r="E23" s="1">
        <v>36</v>
      </c>
      <c r="F23" s="1" t="s">
        <v>3</v>
      </c>
      <c r="G23" s="1" t="s">
        <v>35</v>
      </c>
      <c r="H23" s="1">
        <v>5</v>
      </c>
      <c r="I23" s="1" t="s">
        <v>36</v>
      </c>
      <c r="J23" s="1" t="s">
        <v>23</v>
      </c>
      <c r="K23" s="1" t="s">
        <v>5</v>
      </c>
      <c r="L23" s="1"/>
      <c r="M23" s="1"/>
      <c r="N23" s="1"/>
      <c r="O23" s="1"/>
      <c r="P23" s="1"/>
      <c r="Q23" s="1"/>
      <c r="R23" s="1"/>
      <c r="S23" s="1"/>
    </row>
    <row r="24" spans="1:19" ht="22.05" customHeight="1">
      <c r="A24" s="1" t="s">
        <v>75</v>
      </c>
      <c r="B24" s="1" t="s">
        <v>76</v>
      </c>
      <c r="C24" s="3">
        <v>46104</v>
      </c>
      <c r="D24" s="5">
        <v>1500</v>
      </c>
      <c r="E24" s="1">
        <v>18</v>
      </c>
      <c r="F24" s="1" t="s">
        <v>2</v>
      </c>
      <c r="G24" s="1" t="s">
        <v>21</v>
      </c>
      <c r="H24" s="1">
        <v>4</v>
      </c>
      <c r="I24" s="1" t="s">
        <v>22</v>
      </c>
      <c r="J24" s="1" t="s">
        <v>28</v>
      </c>
      <c r="K24" s="1" t="s">
        <v>5</v>
      </c>
      <c r="L24" s="1"/>
      <c r="M24" s="1"/>
      <c r="N24" s="1"/>
      <c r="O24" s="1"/>
      <c r="P24" s="1"/>
      <c r="Q24" s="1"/>
      <c r="R24" s="1"/>
      <c r="S24" s="1"/>
    </row>
    <row r="25" spans="1:19" ht="22.05" customHeight="1">
      <c r="A25" s="1" t="s">
        <v>77</v>
      </c>
      <c r="B25" s="1" t="s">
        <v>78</v>
      </c>
      <c r="C25" s="3">
        <v>46097</v>
      </c>
      <c r="D25" s="5">
        <v>2500</v>
      </c>
      <c r="E25" s="1">
        <v>36</v>
      </c>
      <c r="F25" s="1" t="s">
        <v>3</v>
      </c>
      <c r="G25" s="1" t="s">
        <v>21</v>
      </c>
      <c r="H25" s="1">
        <v>9</v>
      </c>
      <c r="I25" s="1" t="s">
        <v>22</v>
      </c>
      <c r="J25" s="1" t="s">
        <v>28</v>
      </c>
      <c r="K25" s="1" t="s">
        <v>5</v>
      </c>
      <c r="L25" s="1"/>
      <c r="M25" s="1"/>
      <c r="N25" s="1"/>
      <c r="O25" s="1"/>
      <c r="P25" s="1"/>
      <c r="Q25" s="1"/>
      <c r="R25" s="1"/>
      <c r="S25" s="1"/>
    </row>
    <row r="26" spans="1:19" ht="22.05" customHeight="1">
      <c r="A26" s="1" t="s">
        <v>79</v>
      </c>
      <c r="B26" s="1" t="s">
        <v>80</v>
      </c>
      <c r="C26" s="3">
        <v>46064</v>
      </c>
      <c r="D26" s="5">
        <v>2500</v>
      </c>
      <c r="E26" s="1">
        <v>24</v>
      </c>
      <c r="F26" s="1" t="s">
        <v>3</v>
      </c>
      <c r="G26" s="1" t="s">
        <v>35</v>
      </c>
      <c r="H26" s="1">
        <v>1</v>
      </c>
      <c r="I26" s="1" t="s">
        <v>36</v>
      </c>
      <c r="J26" s="1" t="s">
        <v>23</v>
      </c>
      <c r="K26" s="1" t="s">
        <v>5</v>
      </c>
      <c r="L26" s="1"/>
      <c r="M26" s="1"/>
      <c r="N26" s="1"/>
      <c r="O26" s="1"/>
      <c r="P26" s="1"/>
      <c r="Q26" s="1"/>
      <c r="R26" s="1"/>
      <c r="S26" s="1"/>
    </row>
    <row r="27" spans="1:19" ht="22.05" customHeight="1">
      <c r="A27" s="1" t="s">
        <v>81</v>
      </c>
      <c r="B27" s="1" t="s">
        <v>82</v>
      </c>
      <c r="C27" s="3">
        <v>46104</v>
      </c>
      <c r="D27" s="5">
        <v>2000</v>
      </c>
      <c r="E27" s="1">
        <v>12</v>
      </c>
      <c r="F27" s="1" t="s">
        <v>3</v>
      </c>
      <c r="G27" s="1" t="s">
        <v>35</v>
      </c>
      <c r="H27" s="1">
        <v>9</v>
      </c>
      <c r="I27" s="1" t="s">
        <v>36</v>
      </c>
      <c r="J27" s="1" t="s">
        <v>28</v>
      </c>
      <c r="K27" s="1" t="s">
        <v>5</v>
      </c>
      <c r="L27" s="1"/>
      <c r="M27" s="1"/>
      <c r="N27" s="1"/>
      <c r="O27" s="1"/>
      <c r="P27" s="1"/>
      <c r="Q27" s="1"/>
      <c r="R27" s="1"/>
      <c r="S27" s="1"/>
    </row>
    <row r="28" spans="1:19" ht="22.05" customHeight="1">
      <c r="A28" s="1" t="s">
        <v>83</v>
      </c>
      <c r="B28" s="1" t="s">
        <v>84</v>
      </c>
      <c r="C28" s="3">
        <v>46047</v>
      </c>
      <c r="D28" s="5">
        <v>4000</v>
      </c>
      <c r="E28" s="1">
        <v>12</v>
      </c>
      <c r="F28" s="1" t="s">
        <v>3</v>
      </c>
      <c r="G28" s="1" t="s">
        <v>35</v>
      </c>
      <c r="H28" s="1">
        <v>10</v>
      </c>
      <c r="I28" s="1" t="s">
        <v>36</v>
      </c>
      <c r="J28" s="1" t="s">
        <v>41</v>
      </c>
      <c r="K28" s="1" t="s">
        <v>5</v>
      </c>
      <c r="L28" s="1"/>
      <c r="M28" s="1"/>
      <c r="N28" s="1"/>
      <c r="O28" s="1"/>
      <c r="P28" s="1"/>
      <c r="Q28" s="1"/>
      <c r="R28" s="1"/>
      <c r="S28" s="1"/>
    </row>
    <row r="29" spans="1:19" ht="22.05" customHeight="1">
      <c r="A29" s="1" t="s">
        <v>85</v>
      </c>
      <c r="B29" s="1" t="s">
        <v>86</v>
      </c>
      <c r="C29" s="3">
        <v>46050</v>
      </c>
      <c r="D29" s="5">
        <v>3000</v>
      </c>
      <c r="E29" s="1">
        <v>36</v>
      </c>
      <c r="F29" s="1" t="s">
        <v>3</v>
      </c>
      <c r="G29" s="1" t="s">
        <v>21</v>
      </c>
      <c r="H29" s="1">
        <v>11</v>
      </c>
      <c r="I29" s="1" t="s">
        <v>22</v>
      </c>
      <c r="J29" s="1" t="s">
        <v>41</v>
      </c>
      <c r="K29" s="1" t="s">
        <v>5</v>
      </c>
      <c r="L29" s="1"/>
      <c r="M29" s="1"/>
      <c r="N29" s="1"/>
      <c r="O29" s="1"/>
      <c r="P29" s="1"/>
      <c r="Q29" s="1"/>
      <c r="R29" s="1"/>
      <c r="S29" s="1"/>
    </row>
    <row r="30" spans="1:19" ht="22.05" customHeight="1">
      <c r="A30" s="1" t="s">
        <v>87</v>
      </c>
      <c r="B30" s="1" t="s">
        <v>88</v>
      </c>
      <c r="C30" s="3">
        <v>46083</v>
      </c>
      <c r="D30" s="5">
        <v>1500</v>
      </c>
      <c r="E30" s="1">
        <v>18</v>
      </c>
      <c r="F30" s="1" t="s">
        <v>2</v>
      </c>
      <c r="G30" s="1" t="s">
        <v>21</v>
      </c>
      <c r="H30" s="1">
        <v>12</v>
      </c>
      <c r="I30" s="1" t="s">
        <v>22</v>
      </c>
      <c r="J30" s="1" t="s">
        <v>28</v>
      </c>
      <c r="K30" s="1" t="s">
        <v>5</v>
      </c>
      <c r="L30" s="1"/>
      <c r="M30" s="1"/>
      <c r="N30" s="1"/>
      <c r="O30" s="1"/>
      <c r="P30" s="1"/>
      <c r="Q30" s="1"/>
      <c r="R30" s="1"/>
      <c r="S30" s="1"/>
    </row>
    <row r="31" spans="1:19" ht="22.05" customHeight="1">
      <c r="A31" s="1" t="s">
        <v>89</v>
      </c>
      <c r="B31" s="1" t="s">
        <v>90</v>
      </c>
      <c r="C31" s="3">
        <v>46108</v>
      </c>
      <c r="D31" s="5">
        <v>5000</v>
      </c>
      <c r="E31" s="1">
        <v>36</v>
      </c>
      <c r="F31" s="1" t="s">
        <v>2</v>
      </c>
      <c r="G31" s="1" t="s">
        <v>35</v>
      </c>
      <c r="H31" s="1">
        <v>9</v>
      </c>
      <c r="I31" s="1" t="s">
        <v>36</v>
      </c>
      <c r="J31" s="1" t="s">
        <v>28</v>
      </c>
      <c r="K31" s="1" t="s">
        <v>5</v>
      </c>
      <c r="L31" s="1"/>
      <c r="M31" s="1"/>
      <c r="N31" s="1"/>
      <c r="O31" s="1"/>
      <c r="P31" s="1"/>
      <c r="Q31" s="1"/>
      <c r="R31" s="1"/>
      <c r="S31" s="1"/>
    </row>
    <row r="32" spans="1:19" ht="22.05" customHeight="1">
      <c r="A32" s="1" t="s">
        <v>91</v>
      </c>
      <c r="B32" s="1" t="s">
        <v>92</v>
      </c>
      <c r="C32" s="3">
        <v>46108</v>
      </c>
      <c r="D32" s="5">
        <v>5000</v>
      </c>
      <c r="E32" s="1">
        <v>12</v>
      </c>
      <c r="F32" s="1" t="s">
        <v>2</v>
      </c>
      <c r="G32" s="1" t="s">
        <v>26</v>
      </c>
      <c r="H32" s="1">
        <v>3</v>
      </c>
      <c r="I32" s="1" t="s">
        <v>27</v>
      </c>
      <c r="J32" s="1" t="s">
        <v>28</v>
      </c>
      <c r="K32" s="1" t="s">
        <v>6</v>
      </c>
      <c r="L32" s="1"/>
      <c r="M32" s="1"/>
      <c r="N32" s="1"/>
      <c r="O32" s="1"/>
      <c r="P32" s="1"/>
      <c r="Q32" s="1"/>
      <c r="R32" s="1"/>
      <c r="S32" s="1"/>
    </row>
    <row r="33" spans="1:19" ht="22.05" customHeight="1">
      <c r="A33" s="1" t="s">
        <v>93</v>
      </c>
      <c r="B33" s="1" t="s">
        <v>94</v>
      </c>
      <c r="C33" s="3">
        <v>46040</v>
      </c>
      <c r="D33" s="5">
        <v>2000</v>
      </c>
      <c r="E33" s="1">
        <v>18</v>
      </c>
      <c r="F33" s="1" t="s">
        <v>2</v>
      </c>
      <c r="G33" s="1" t="s">
        <v>35</v>
      </c>
      <c r="H33" s="1">
        <v>6</v>
      </c>
      <c r="I33" s="1" t="s">
        <v>36</v>
      </c>
      <c r="J33" s="1" t="s">
        <v>41</v>
      </c>
      <c r="K33" s="1" t="s">
        <v>5</v>
      </c>
      <c r="L33" s="1"/>
      <c r="M33" s="1"/>
      <c r="N33" s="1"/>
      <c r="O33" s="1"/>
      <c r="P33" s="1"/>
      <c r="Q33" s="1"/>
      <c r="R33" s="1"/>
      <c r="S33" s="1"/>
    </row>
    <row r="34" spans="1:19" ht="22.05" customHeight="1">
      <c r="A34" s="1" t="s">
        <v>95</v>
      </c>
      <c r="B34" s="1" t="s">
        <v>96</v>
      </c>
      <c r="C34" s="3">
        <v>46061</v>
      </c>
      <c r="D34" s="5">
        <v>8000</v>
      </c>
      <c r="E34" s="1">
        <v>12</v>
      </c>
      <c r="F34" s="1" t="s">
        <v>2</v>
      </c>
      <c r="G34" s="1" t="s">
        <v>26</v>
      </c>
      <c r="H34" s="1">
        <v>4</v>
      </c>
      <c r="I34" s="1" t="s">
        <v>27</v>
      </c>
      <c r="J34" s="1" t="s">
        <v>23</v>
      </c>
      <c r="K34" s="1" t="s">
        <v>6</v>
      </c>
      <c r="L34" s="1"/>
      <c r="M34" s="1"/>
      <c r="N34" s="1"/>
      <c r="O34" s="1"/>
      <c r="P34" s="1"/>
      <c r="Q34" s="1"/>
      <c r="R34" s="1"/>
      <c r="S34" s="1"/>
    </row>
    <row r="35" spans="1:19" ht="22.05" customHeight="1">
      <c r="A35" s="1" t="s">
        <v>97</v>
      </c>
      <c r="B35" s="1" t="s">
        <v>98</v>
      </c>
      <c r="C35" s="3">
        <v>46058</v>
      </c>
      <c r="D35" s="5">
        <v>3000</v>
      </c>
      <c r="E35" s="1">
        <v>18</v>
      </c>
      <c r="F35" s="1" t="s">
        <v>3</v>
      </c>
      <c r="G35" s="1" t="s">
        <v>35</v>
      </c>
      <c r="H35" s="1">
        <v>8</v>
      </c>
      <c r="I35" s="1" t="s">
        <v>36</v>
      </c>
      <c r="J35" s="1" t="s">
        <v>23</v>
      </c>
      <c r="K35" s="1" t="s">
        <v>5</v>
      </c>
      <c r="L35" s="1"/>
      <c r="M35" s="1"/>
      <c r="N35" s="1"/>
      <c r="O35" s="1"/>
      <c r="P35" s="1"/>
      <c r="Q35" s="1"/>
      <c r="R35" s="1"/>
      <c r="S35" s="1"/>
    </row>
    <row r="36" spans="1:19" ht="22.05" customHeight="1">
      <c r="A36" s="1" t="s">
        <v>99</v>
      </c>
      <c r="B36" s="1" t="s">
        <v>100</v>
      </c>
      <c r="C36" s="3">
        <v>46070</v>
      </c>
      <c r="D36" s="5">
        <v>2000</v>
      </c>
      <c r="E36" s="1">
        <v>36</v>
      </c>
      <c r="F36" s="1" t="s">
        <v>3</v>
      </c>
      <c r="G36" s="1" t="s">
        <v>26</v>
      </c>
      <c r="H36" s="1">
        <v>14</v>
      </c>
      <c r="I36" s="1" t="s">
        <v>27</v>
      </c>
      <c r="J36" s="1" t="s">
        <v>23</v>
      </c>
      <c r="K36" s="1" t="s">
        <v>6</v>
      </c>
      <c r="L36" s="1"/>
      <c r="M36" s="1"/>
      <c r="N36" s="1"/>
      <c r="O36" s="1"/>
      <c r="P36" s="1"/>
      <c r="Q36" s="1"/>
      <c r="R36" s="1"/>
      <c r="S36" s="1"/>
    </row>
    <row r="37" spans="1:19" ht="22.05" customHeight="1">
      <c r="A37" s="1" t="s">
        <v>101</v>
      </c>
      <c r="B37" s="1" t="s">
        <v>102</v>
      </c>
      <c r="C37" s="3">
        <v>46099</v>
      </c>
      <c r="D37" s="5">
        <v>2500</v>
      </c>
      <c r="E37" s="1">
        <v>24</v>
      </c>
      <c r="F37" s="1" t="s">
        <v>2</v>
      </c>
      <c r="G37" s="1" t="s">
        <v>31</v>
      </c>
      <c r="H37" s="1">
        <v>6</v>
      </c>
      <c r="I37" s="1" t="s">
        <v>32</v>
      </c>
      <c r="J37" s="1" t="s">
        <v>28</v>
      </c>
      <c r="K37" s="1" t="s">
        <v>6</v>
      </c>
      <c r="L37" s="1"/>
      <c r="M37" s="1"/>
      <c r="N37" s="1"/>
      <c r="O37" s="1"/>
      <c r="P37" s="1"/>
      <c r="Q37" s="1"/>
      <c r="R37" s="1"/>
      <c r="S37" s="1"/>
    </row>
    <row r="38" spans="1:19" ht="22.05" customHeight="1">
      <c r="A38" s="1" t="s">
        <v>103</v>
      </c>
      <c r="B38" s="1" t="s">
        <v>104</v>
      </c>
      <c r="C38" s="3">
        <v>46042</v>
      </c>
      <c r="D38" s="5">
        <v>4000</v>
      </c>
      <c r="E38" s="1">
        <v>18</v>
      </c>
      <c r="F38" s="1" t="s">
        <v>3</v>
      </c>
      <c r="G38" s="1" t="s">
        <v>26</v>
      </c>
      <c r="H38" s="1">
        <v>14</v>
      </c>
      <c r="I38" s="1" t="s">
        <v>27</v>
      </c>
      <c r="J38" s="1" t="s">
        <v>41</v>
      </c>
      <c r="K38" s="1" t="s">
        <v>6</v>
      </c>
      <c r="L38" s="1"/>
      <c r="M38" s="1"/>
      <c r="N38" s="1"/>
      <c r="O38" s="1"/>
      <c r="P38" s="1"/>
      <c r="Q38" s="1"/>
      <c r="R38" s="1"/>
      <c r="S38" s="1"/>
    </row>
    <row r="39" spans="1:19" ht="22.05" customHeight="1">
      <c r="A39" s="1" t="s">
        <v>105</v>
      </c>
      <c r="B39" s="1" t="s">
        <v>106</v>
      </c>
      <c r="C39" s="3">
        <v>46071</v>
      </c>
      <c r="D39" s="5">
        <v>2500</v>
      </c>
      <c r="E39" s="1">
        <v>24</v>
      </c>
      <c r="F39" s="1" t="s">
        <v>2</v>
      </c>
      <c r="G39" s="1" t="s">
        <v>26</v>
      </c>
      <c r="H39" s="1">
        <v>8</v>
      </c>
      <c r="I39" s="1" t="s">
        <v>27</v>
      </c>
      <c r="J39" s="1" t="s">
        <v>23</v>
      </c>
      <c r="K39" s="1" t="s">
        <v>6</v>
      </c>
      <c r="L39" s="1"/>
      <c r="M39" s="1"/>
      <c r="N39" s="1"/>
      <c r="O39" s="1"/>
      <c r="P39" s="1"/>
      <c r="Q39" s="1"/>
      <c r="R39" s="1"/>
      <c r="S39" s="1"/>
    </row>
    <row r="40" spans="1:19" ht="22.05" customHeight="1">
      <c r="A40" s="1" t="s">
        <v>107</v>
      </c>
      <c r="B40" s="1" t="s">
        <v>108</v>
      </c>
      <c r="C40" s="3">
        <v>46038</v>
      </c>
      <c r="D40" s="5">
        <v>2500</v>
      </c>
      <c r="E40" s="1">
        <v>24</v>
      </c>
      <c r="F40" s="1" t="s">
        <v>3</v>
      </c>
      <c r="G40" s="1" t="s">
        <v>26</v>
      </c>
      <c r="H40" s="1">
        <v>10</v>
      </c>
      <c r="I40" s="1" t="s">
        <v>27</v>
      </c>
      <c r="J40" s="1" t="s">
        <v>41</v>
      </c>
      <c r="K40" s="1" t="s">
        <v>6</v>
      </c>
      <c r="L40" s="1"/>
      <c r="M40" s="1"/>
      <c r="N40" s="1"/>
      <c r="O40" s="1"/>
      <c r="P40" s="1"/>
      <c r="Q40" s="1"/>
      <c r="R40" s="1"/>
      <c r="S40" s="1"/>
    </row>
    <row r="41" spans="1:19" ht="22.05" customHeight="1">
      <c r="A41" s="1" t="s">
        <v>109</v>
      </c>
      <c r="B41" s="1" t="s">
        <v>110</v>
      </c>
      <c r="C41" s="3">
        <v>46056</v>
      </c>
      <c r="D41" s="5">
        <v>2000</v>
      </c>
      <c r="E41" s="1">
        <v>36</v>
      </c>
      <c r="F41" s="1" t="s">
        <v>3</v>
      </c>
      <c r="G41" s="1" t="s">
        <v>21</v>
      </c>
      <c r="H41" s="1">
        <v>6</v>
      </c>
      <c r="I41" s="1" t="s">
        <v>22</v>
      </c>
      <c r="J41" s="1" t="s">
        <v>23</v>
      </c>
      <c r="K41" s="1" t="s">
        <v>5</v>
      </c>
      <c r="L41" s="1"/>
      <c r="M41" s="1"/>
      <c r="N41" s="1"/>
      <c r="O41" s="1"/>
      <c r="P41" s="1"/>
      <c r="Q41" s="1"/>
      <c r="R41" s="1"/>
      <c r="S41" s="1"/>
    </row>
    <row r="42" spans="1:19" ht="22.05" customHeight="1">
      <c r="A42" s="1" t="s">
        <v>111</v>
      </c>
      <c r="B42" s="1" t="s">
        <v>112</v>
      </c>
      <c r="C42" s="3">
        <v>46025</v>
      </c>
      <c r="D42" s="5">
        <v>6500</v>
      </c>
      <c r="E42" s="1">
        <v>24</v>
      </c>
      <c r="F42" s="1" t="s">
        <v>3</v>
      </c>
      <c r="G42" s="1" t="s">
        <v>26</v>
      </c>
      <c r="H42" s="1">
        <v>8</v>
      </c>
      <c r="I42" s="1" t="s">
        <v>27</v>
      </c>
      <c r="J42" s="1" t="s">
        <v>41</v>
      </c>
      <c r="K42" s="1" t="s">
        <v>6</v>
      </c>
      <c r="L42" s="1"/>
      <c r="M42" s="1"/>
      <c r="N42" s="1"/>
      <c r="O42" s="1"/>
      <c r="P42" s="1"/>
      <c r="Q42" s="1"/>
      <c r="R42" s="1"/>
      <c r="S42" s="1"/>
    </row>
    <row r="43" spans="1:19" ht="22.05" customHeight="1">
      <c r="A43" s="1" t="s">
        <v>113</v>
      </c>
      <c r="B43" s="1" t="s">
        <v>114</v>
      </c>
      <c r="C43" s="3">
        <v>46027</v>
      </c>
      <c r="D43" s="5">
        <v>8000</v>
      </c>
      <c r="E43" s="1">
        <v>24</v>
      </c>
      <c r="F43" s="1" t="s">
        <v>2</v>
      </c>
      <c r="G43" s="1" t="s">
        <v>35</v>
      </c>
      <c r="H43" s="1">
        <v>6</v>
      </c>
      <c r="I43" s="1" t="s">
        <v>36</v>
      </c>
      <c r="J43" s="1" t="s">
        <v>41</v>
      </c>
      <c r="K43" s="1" t="s">
        <v>5</v>
      </c>
      <c r="L43" s="1"/>
      <c r="M43" s="1"/>
      <c r="N43" s="1"/>
      <c r="O43" s="1"/>
      <c r="P43" s="1"/>
      <c r="Q43" s="1"/>
      <c r="R43" s="1"/>
      <c r="S43" s="1"/>
    </row>
    <row r="44" spans="1:19" ht="22.05" customHeight="1">
      <c r="A44" s="1" t="s">
        <v>115</v>
      </c>
      <c r="B44" s="1" t="s">
        <v>116</v>
      </c>
      <c r="C44" s="3">
        <v>46102</v>
      </c>
      <c r="D44" s="5">
        <v>5000</v>
      </c>
      <c r="E44" s="1">
        <v>18</v>
      </c>
      <c r="F44" s="1" t="s">
        <v>2</v>
      </c>
      <c r="G44" s="1" t="s">
        <v>21</v>
      </c>
      <c r="H44" s="1">
        <v>10</v>
      </c>
      <c r="I44" s="1" t="s">
        <v>22</v>
      </c>
      <c r="J44" s="1" t="s">
        <v>28</v>
      </c>
      <c r="K44" s="1" t="s">
        <v>5</v>
      </c>
      <c r="L44" s="1"/>
      <c r="M44" s="1"/>
      <c r="N44" s="1"/>
      <c r="O44" s="1"/>
      <c r="P44" s="1"/>
      <c r="Q44" s="1"/>
      <c r="R44" s="1"/>
      <c r="S44" s="1"/>
    </row>
    <row r="45" spans="1:19" ht="22.05" customHeight="1">
      <c r="A45" s="1" t="s">
        <v>117</v>
      </c>
      <c r="B45" s="1" t="s">
        <v>118</v>
      </c>
      <c r="C45" s="3">
        <v>46029</v>
      </c>
      <c r="D45" s="5">
        <v>4000</v>
      </c>
      <c r="E45" s="1">
        <v>24</v>
      </c>
      <c r="F45" s="1" t="s">
        <v>2</v>
      </c>
      <c r="G45" s="1" t="s">
        <v>35</v>
      </c>
      <c r="H45" s="1">
        <v>4</v>
      </c>
      <c r="I45" s="1" t="s">
        <v>36</v>
      </c>
      <c r="J45" s="1" t="s">
        <v>41</v>
      </c>
      <c r="K45" s="1" t="s">
        <v>5</v>
      </c>
      <c r="L45" s="1"/>
      <c r="M45" s="1"/>
      <c r="N45" s="1"/>
      <c r="O45" s="1"/>
      <c r="P45" s="1"/>
      <c r="Q45" s="1"/>
      <c r="R45" s="1"/>
      <c r="S45" s="1"/>
    </row>
    <row r="46" spans="1:19" ht="22.05" customHeight="1">
      <c r="A46" s="1" t="s">
        <v>119</v>
      </c>
      <c r="B46" s="1" t="s">
        <v>120</v>
      </c>
      <c r="C46" s="3">
        <v>46074</v>
      </c>
      <c r="D46" s="5">
        <v>2000</v>
      </c>
      <c r="E46" s="1">
        <v>18</v>
      </c>
      <c r="F46" s="1" t="s">
        <v>2</v>
      </c>
      <c r="G46" s="1" t="s">
        <v>21</v>
      </c>
      <c r="H46" s="1">
        <v>5</v>
      </c>
      <c r="I46" s="1" t="s">
        <v>22</v>
      </c>
      <c r="J46" s="1" t="s">
        <v>23</v>
      </c>
      <c r="K46" s="1" t="s">
        <v>5</v>
      </c>
      <c r="L46" s="1"/>
      <c r="M46" s="1"/>
      <c r="N46" s="1"/>
      <c r="O46" s="1"/>
      <c r="P46" s="1"/>
      <c r="Q46" s="1"/>
      <c r="R46" s="1"/>
      <c r="S46" s="1"/>
    </row>
    <row r="47" spans="1:19" ht="22.05" customHeight="1">
      <c r="A47" s="1" t="s">
        <v>121</v>
      </c>
      <c r="B47" s="1" t="s">
        <v>122</v>
      </c>
      <c r="C47" s="3">
        <v>46102</v>
      </c>
      <c r="D47" s="5">
        <v>1500</v>
      </c>
      <c r="E47" s="1">
        <v>36</v>
      </c>
      <c r="F47" s="1" t="s">
        <v>2</v>
      </c>
      <c r="G47" s="1" t="s">
        <v>35</v>
      </c>
      <c r="H47" s="1">
        <v>6</v>
      </c>
      <c r="I47" s="1" t="s">
        <v>36</v>
      </c>
      <c r="J47" s="1" t="s">
        <v>28</v>
      </c>
      <c r="K47" s="1" t="s">
        <v>5</v>
      </c>
      <c r="L47" s="1"/>
      <c r="M47" s="1"/>
      <c r="N47" s="1"/>
      <c r="O47" s="1"/>
      <c r="P47" s="1"/>
      <c r="Q47" s="1"/>
      <c r="R47" s="1"/>
      <c r="S47" s="1"/>
    </row>
    <row r="48" spans="1:19" ht="22.05" customHeight="1">
      <c r="A48" s="1" t="s">
        <v>123</v>
      </c>
      <c r="B48" s="1" t="s">
        <v>124</v>
      </c>
      <c r="C48" s="3">
        <v>46068</v>
      </c>
      <c r="D48" s="5">
        <v>4000</v>
      </c>
      <c r="E48" s="1">
        <v>18</v>
      </c>
      <c r="F48" s="1" t="s">
        <v>2</v>
      </c>
      <c r="G48" s="1" t="s">
        <v>21</v>
      </c>
      <c r="H48" s="1">
        <v>12</v>
      </c>
      <c r="I48" s="1" t="s">
        <v>22</v>
      </c>
      <c r="J48" s="1" t="s">
        <v>23</v>
      </c>
      <c r="K48" s="1" t="s">
        <v>5</v>
      </c>
      <c r="L48" s="1"/>
      <c r="M48" s="1"/>
      <c r="N48" s="1"/>
      <c r="O48" s="1"/>
      <c r="P48" s="1"/>
      <c r="Q48" s="1"/>
      <c r="R48" s="1"/>
      <c r="S48" s="1"/>
    </row>
    <row r="49" spans="1:19" ht="22.05" customHeight="1">
      <c r="A49" s="1" t="s">
        <v>125</v>
      </c>
      <c r="B49" s="1" t="s">
        <v>126</v>
      </c>
      <c r="C49" s="3">
        <v>46104</v>
      </c>
      <c r="D49" s="5">
        <v>3000</v>
      </c>
      <c r="E49" s="1">
        <v>18</v>
      </c>
      <c r="F49" s="1" t="s">
        <v>3</v>
      </c>
      <c r="G49" s="1" t="s">
        <v>35</v>
      </c>
      <c r="H49" s="1">
        <v>6</v>
      </c>
      <c r="I49" s="1" t="s">
        <v>36</v>
      </c>
      <c r="J49" s="1" t="s">
        <v>28</v>
      </c>
      <c r="K49" s="1" t="s">
        <v>5</v>
      </c>
      <c r="L49" s="1"/>
      <c r="M49" s="1"/>
      <c r="N49" s="1"/>
      <c r="O49" s="1"/>
      <c r="P49" s="1"/>
      <c r="Q49" s="1"/>
      <c r="R49" s="1"/>
      <c r="S49" s="1"/>
    </row>
    <row r="50" spans="1:19" ht="22.05" customHeight="1">
      <c r="A50" s="1" t="s">
        <v>127</v>
      </c>
      <c r="B50" s="1" t="s">
        <v>128</v>
      </c>
      <c r="C50" s="3">
        <v>46075</v>
      </c>
      <c r="D50" s="5">
        <v>6500</v>
      </c>
      <c r="E50" s="1">
        <v>18</v>
      </c>
      <c r="F50" s="1" t="s">
        <v>2</v>
      </c>
      <c r="G50" s="1" t="s">
        <v>26</v>
      </c>
      <c r="H50" s="1">
        <v>3</v>
      </c>
      <c r="I50" s="1" t="s">
        <v>27</v>
      </c>
      <c r="J50" s="1" t="s">
        <v>23</v>
      </c>
      <c r="K50" s="1" t="s">
        <v>6</v>
      </c>
      <c r="L50" s="1"/>
      <c r="M50" s="1"/>
      <c r="N50" s="1"/>
      <c r="O50" s="1"/>
      <c r="P50" s="1"/>
      <c r="Q50" s="1"/>
      <c r="R50" s="1"/>
      <c r="S50" s="1"/>
    </row>
    <row r="51" spans="1:19">
      <c r="A51" t="s">
        <v>129</v>
      </c>
      <c r="B51" t="s">
        <v>130</v>
      </c>
      <c r="C51" s="4">
        <v>46096</v>
      </c>
      <c r="D51" s="6">
        <v>2500</v>
      </c>
      <c r="E51">
        <v>12</v>
      </c>
      <c r="F51" t="s">
        <v>3</v>
      </c>
      <c r="G51" t="s">
        <v>31</v>
      </c>
      <c r="H51">
        <v>16</v>
      </c>
      <c r="I51" t="s">
        <v>32</v>
      </c>
      <c r="J51" t="s">
        <v>28</v>
      </c>
      <c r="K51" t="s">
        <v>6</v>
      </c>
    </row>
    <row r="52" spans="1:19">
      <c r="A52" t="s">
        <v>131</v>
      </c>
      <c r="B52" t="s">
        <v>132</v>
      </c>
      <c r="C52" s="4">
        <v>46044</v>
      </c>
      <c r="D52" s="6">
        <v>6500</v>
      </c>
      <c r="E52">
        <v>36</v>
      </c>
      <c r="F52" t="s">
        <v>2</v>
      </c>
      <c r="G52" t="s">
        <v>35</v>
      </c>
      <c r="H52">
        <v>7</v>
      </c>
      <c r="I52" t="s">
        <v>36</v>
      </c>
      <c r="J52" t="s">
        <v>41</v>
      </c>
      <c r="K52" t="s">
        <v>5</v>
      </c>
    </row>
    <row r="53" spans="1:19">
      <c r="A53" t="s">
        <v>133</v>
      </c>
      <c r="B53" t="s">
        <v>134</v>
      </c>
      <c r="C53" s="4">
        <v>46060</v>
      </c>
      <c r="D53" s="6">
        <v>3000</v>
      </c>
      <c r="E53">
        <v>18</v>
      </c>
      <c r="F53" t="s">
        <v>2</v>
      </c>
      <c r="G53" t="s">
        <v>21</v>
      </c>
      <c r="H53">
        <v>6</v>
      </c>
      <c r="I53" t="s">
        <v>22</v>
      </c>
      <c r="J53" t="s">
        <v>23</v>
      </c>
      <c r="K53" t="s">
        <v>5</v>
      </c>
    </row>
    <row r="54" spans="1:19">
      <c r="A54" t="s">
        <v>135</v>
      </c>
      <c r="B54" t="s">
        <v>136</v>
      </c>
      <c r="C54" s="4">
        <v>46097</v>
      </c>
      <c r="D54" s="6">
        <v>2000</v>
      </c>
      <c r="E54">
        <v>12</v>
      </c>
      <c r="F54" t="s">
        <v>3</v>
      </c>
      <c r="G54" t="s">
        <v>35</v>
      </c>
      <c r="H54">
        <v>7</v>
      </c>
      <c r="I54" t="s">
        <v>36</v>
      </c>
      <c r="J54" t="s">
        <v>28</v>
      </c>
      <c r="K54" t="s">
        <v>5</v>
      </c>
    </row>
    <row r="55" spans="1:19">
      <c r="A55" t="s">
        <v>137</v>
      </c>
      <c r="B55" t="s">
        <v>138</v>
      </c>
      <c r="C55" s="4">
        <v>46029</v>
      </c>
      <c r="D55" s="6">
        <v>4000</v>
      </c>
      <c r="E55">
        <v>18</v>
      </c>
      <c r="F55" t="s">
        <v>2</v>
      </c>
      <c r="G55" t="s">
        <v>21</v>
      </c>
      <c r="H55">
        <v>8</v>
      </c>
      <c r="I55" t="s">
        <v>22</v>
      </c>
      <c r="J55" t="s">
        <v>41</v>
      </c>
      <c r="K55" t="s">
        <v>5</v>
      </c>
    </row>
    <row r="56" spans="1:19">
      <c r="A56" t="s">
        <v>139</v>
      </c>
      <c r="B56" t="s">
        <v>140</v>
      </c>
      <c r="C56" s="4">
        <v>46055</v>
      </c>
      <c r="D56" s="6">
        <v>2000</v>
      </c>
      <c r="E56">
        <v>12</v>
      </c>
      <c r="F56" t="s">
        <v>2</v>
      </c>
      <c r="G56" t="s">
        <v>35</v>
      </c>
      <c r="H56">
        <v>5</v>
      </c>
      <c r="I56" t="s">
        <v>36</v>
      </c>
      <c r="J56" t="s">
        <v>23</v>
      </c>
      <c r="K56" t="s">
        <v>5</v>
      </c>
    </row>
    <row r="57" spans="1:19">
      <c r="A57" t="s">
        <v>141</v>
      </c>
      <c r="B57" t="s">
        <v>142</v>
      </c>
      <c r="C57" s="4">
        <v>46074</v>
      </c>
      <c r="D57" s="6">
        <v>4000</v>
      </c>
      <c r="E57">
        <v>36</v>
      </c>
      <c r="F57" t="s">
        <v>2</v>
      </c>
      <c r="G57" t="s">
        <v>26</v>
      </c>
      <c r="H57">
        <v>18</v>
      </c>
      <c r="I57" t="s">
        <v>27</v>
      </c>
      <c r="J57" t="s">
        <v>23</v>
      </c>
      <c r="K57" t="s">
        <v>6</v>
      </c>
    </row>
    <row r="58" spans="1:19">
      <c r="A58" t="s">
        <v>143</v>
      </c>
      <c r="B58" t="s">
        <v>144</v>
      </c>
      <c r="C58" s="4">
        <v>46099</v>
      </c>
      <c r="D58" s="6">
        <v>1500</v>
      </c>
      <c r="E58">
        <v>24</v>
      </c>
      <c r="F58" t="s">
        <v>3</v>
      </c>
      <c r="G58" t="s">
        <v>26</v>
      </c>
      <c r="H58">
        <v>1</v>
      </c>
      <c r="I58" t="s">
        <v>27</v>
      </c>
      <c r="J58" t="s">
        <v>28</v>
      </c>
      <c r="K58" t="s">
        <v>6</v>
      </c>
    </row>
    <row r="59" spans="1:19">
      <c r="A59" t="s">
        <v>145</v>
      </c>
      <c r="B59" t="s">
        <v>146</v>
      </c>
      <c r="C59" s="4">
        <v>46093</v>
      </c>
      <c r="D59" s="6">
        <v>4000</v>
      </c>
      <c r="E59">
        <v>36</v>
      </c>
      <c r="F59" t="s">
        <v>3</v>
      </c>
      <c r="G59" t="s">
        <v>31</v>
      </c>
      <c r="H59">
        <v>10</v>
      </c>
      <c r="I59" t="s">
        <v>32</v>
      </c>
      <c r="J59" t="s">
        <v>28</v>
      </c>
      <c r="K59" t="s">
        <v>6</v>
      </c>
    </row>
    <row r="60" spans="1:19">
      <c r="A60" t="s">
        <v>147</v>
      </c>
      <c r="B60" t="s">
        <v>148</v>
      </c>
      <c r="C60" s="4">
        <v>46065</v>
      </c>
      <c r="D60" s="6">
        <v>2000</v>
      </c>
      <c r="E60">
        <v>36</v>
      </c>
      <c r="F60" t="s">
        <v>2</v>
      </c>
      <c r="G60" t="s">
        <v>26</v>
      </c>
      <c r="H60">
        <v>2</v>
      </c>
      <c r="I60" t="s">
        <v>27</v>
      </c>
      <c r="J60" t="s">
        <v>23</v>
      </c>
      <c r="K60" t="s">
        <v>6</v>
      </c>
    </row>
    <row r="61" spans="1:19">
      <c r="A61" t="s">
        <v>149</v>
      </c>
      <c r="B61" t="s">
        <v>150</v>
      </c>
      <c r="C61" s="4">
        <v>46023</v>
      </c>
      <c r="D61" s="6">
        <v>8000</v>
      </c>
      <c r="E61">
        <v>12</v>
      </c>
      <c r="F61" t="s">
        <v>2</v>
      </c>
      <c r="G61" t="s">
        <v>35</v>
      </c>
      <c r="H61">
        <v>6</v>
      </c>
      <c r="I61" t="s">
        <v>36</v>
      </c>
      <c r="J61" t="s">
        <v>41</v>
      </c>
      <c r="K61" t="s">
        <v>5</v>
      </c>
    </row>
    <row r="62" spans="1:19">
      <c r="A62" t="s">
        <v>151</v>
      </c>
      <c r="B62" t="s">
        <v>152</v>
      </c>
      <c r="C62" s="4">
        <v>46042</v>
      </c>
      <c r="D62" s="6">
        <v>2500</v>
      </c>
      <c r="E62">
        <v>12</v>
      </c>
      <c r="F62" t="s">
        <v>3</v>
      </c>
      <c r="G62" t="s">
        <v>21</v>
      </c>
      <c r="H62">
        <v>7</v>
      </c>
      <c r="I62" t="s">
        <v>22</v>
      </c>
      <c r="J62" t="s">
        <v>41</v>
      </c>
      <c r="K62" t="s">
        <v>5</v>
      </c>
    </row>
    <row r="63" spans="1:19">
      <c r="A63" t="s">
        <v>153</v>
      </c>
      <c r="B63" t="s">
        <v>154</v>
      </c>
      <c r="C63" s="4">
        <v>46043</v>
      </c>
      <c r="D63" s="6">
        <v>2000</v>
      </c>
      <c r="E63">
        <v>18</v>
      </c>
      <c r="F63" t="s">
        <v>2</v>
      </c>
      <c r="G63" t="s">
        <v>31</v>
      </c>
      <c r="H63">
        <v>15</v>
      </c>
      <c r="I63" t="s">
        <v>32</v>
      </c>
      <c r="J63" t="s">
        <v>41</v>
      </c>
      <c r="K63" t="s">
        <v>6</v>
      </c>
    </row>
    <row r="64" spans="1:19">
      <c r="A64" t="s">
        <v>155</v>
      </c>
      <c r="B64" t="s">
        <v>156</v>
      </c>
      <c r="C64" s="4">
        <v>46085</v>
      </c>
      <c r="D64" s="6">
        <v>4000</v>
      </c>
      <c r="E64">
        <v>12</v>
      </c>
      <c r="F64" t="s">
        <v>3</v>
      </c>
      <c r="G64" t="s">
        <v>35</v>
      </c>
      <c r="H64">
        <v>1</v>
      </c>
      <c r="I64" t="s">
        <v>36</v>
      </c>
      <c r="J64" t="s">
        <v>28</v>
      </c>
      <c r="K64" t="s">
        <v>5</v>
      </c>
    </row>
    <row r="65" spans="1:11">
      <c r="A65" t="s">
        <v>157</v>
      </c>
      <c r="B65" t="s">
        <v>158</v>
      </c>
      <c r="C65" s="4">
        <v>46063</v>
      </c>
      <c r="D65" s="6">
        <v>4000</v>
      </c>
      <c r="E65">
        <v>24</v>
      </c>
      <c r="F65" t="s">
        <v>3</v>
      </c>
      <c r="G65" t="s">
        <v>21</v>
      </c>
      <c r="H65">
        <v>11</v>
      </c>
      <c r="I65" t="s">
        <v>22</v>
      </c>
      <c r="J65" t="s">
        <v>23</v>
      </c>
      <c r="K65" t="s">
        <v>5</v>
      </c>
    </row>
    <row r="66" spans="1:11">
      <c r="A66" t="s">
        <v>159</v>
      </c>
      <c r="B66" t="s">
        <v>160</v>
      </c>
      <c r="C66" s="4">
        <v>46096</v>
      </c>
      <c r="D66" s="6">
        <v>6500</v>
      </c>
      <c r="E66">
        <v>12</v>
      </c>
      <c r="F66" t="s">
        <v>2</v>
      </c>
      <c r="G66" t="s">
        <v>21</v>
      </c>
      <c r="H66">
        <v>1</v>
      </c>
      <c r="I66" t="s">
        <v>22</v>
      </c>
      <c r="J66" t="s">
        <v>28</v>
      </c>
      <c r="K66" t="s">
        <v>5</v>
      </c>
    </row>
    <row r="67" spans="1:11">
      <c r="A67" t="s">
        <v>161</v>
      </c>
      <c r="B67" t="s">
        <v>162</v>
      </c>
      <c r="C67" s="4">
        <v>46078</v>
      </c>
      <c r="D67" s="6">
        <v>5000</v>
      </c>
      <c r="E67">
        <v>12</v>
      </c>
      <c r="F67" t="s">
        <v>2</v>
      </c>
      <c r="G67" t="s">
        <v>21</v>
      </c>
      <c r="H67">
        <v>12</v>
      </c>
      <c r="I67" t="s">
        <v>22</v>
      </c>
      <c r="J67" t="s">
        <v>23</v>
      </c>
      <c r="K67" t="s">
        <v>5</v>
      </c>
    </row>
    <row r="68" spans="1:11">
      <c r="A68" t="s">
        <v>163</v>
      </c>
      <c r="B68" t="s">
        <v>164</v>
      </c>
      <c r="C68" s="4">
        <v>46085</v>
      </c>
      <c r="D68" s="6">
        <v>8000</v>
      </c>
      <c r="E68">
        <v>18</v>
      </c>
      <c r="F68" t="s">
        <v>3</v>
      </c>
      <c r="G68" t="s">
        <v>35</v>
      </c>
      <c r="H68">
        <v>5</v>
      </c>
      <c r="I68" t="s">
        <v>36</v>
      </c>
      <c r="J68" t="s">
        <v>28</v>
      </c>
      <c r="K68" t="s">
        <v>5</v>
      </c>
    </row>
    <row r="69" spans="1:11">
      <c r="A69" t="s">
        <v>165</v>
      </c>
      <c r="B69" t="s">
        <v>166</v>
      </c>
      <c r="C69" s="4">
        <v>46103</v>
      </c>
      <c r="D69" s="6">
        <v>1500</v>
      </c>
      <c r="E69">
        <v>18</v>
      </c>
      <c r="F69" t="s">
        <v>2</v>
      </c>
      <c r="G69" t="s">
        <v>31</v>
      </c>
      <c r="H69">
        <v>5</v>
      </c>
      <c r="I69" t="s">
        <v>32</v>
      </c>
      <c r="J69" t="s">
        <v>28</v>
      </c>
      <c r="K69" t="s">
        <v>6</v>
      </c>
    </row>
    <row r="70" spans="1:11">
      <c r="A70" t="s">
        <v>167</v>
      </c>
      <c r="B70" t="s">
        <v>168</v>
      </c>
      <c r="C70" s="4">
        <v>46079</v>
      </c>
      <c r="D70" s="6">
        <v>2000</v>
      </c>
      <c r="E70">
        <v>12</v>
      </c>
      <c r="F70" t="s">
        <v>2</v>
      </c>
      <c r="G70" t="s">
        <v>31</v>
      </c>
      <c r="H70">
        <v>4</v>
      </c>
      <c r="I70" t="s">
        <v>32</v>
      </c>
      <c r="J70" t="s">
        <v>23</v>
      </c>
      <c r="K70" t="s">
        <v>6</v>
      </c>
    </row>
    <row r="71" spans="1:11">
      <c r="A71" t="s">
        <v>169</v>
      </c>
      <c r="B71" t="s">
        <v>170</v>
      </c>
      <c r="C71" s="4">
        <v>46072</v>
      </c>
      <c r="D71" s="6">
        <v>6500</v>
      </c>
      <c r="E71">
        <v>18</v>
      </c>
      <c r="F71" t="s">
        <v>2</v>
      </c>
      <c r="G71" t="s">
        <v>21</v>
      </c>
      <c r="H71">
        <v>11</v>
      </c>
      <c r="I71" t="s">
        <v>22</v>
      </c>
      <c r="J71" t="s">
        <v>23</v>
      </c>
      <c r="K71" t="s">
        <v>5</v>
      </c>
    </row>
    <row r="72" spans="1:11">
      <c r="A72" t="s">
        <v>171</v>
      </c>
      <c r="B72" t="s">
        <v>172</v>
      </c>
      <c r="C72" s="4">
        <v>46044</v>
      </c>
      <c r="D72" s="6">
        <v>3000</v>
      </c>
      <c r="E72">
        <v>24</v>
      </c>
      <c r="F72" t="s">
        <v>2</v>
      </c>
      <c r="G72" t="s">
        <v>31</v>
      </c>
      <c r="H72">
        <v>11</v>
      </c>
      <c r="I72" t="s">
        <v>32</v>
      </c>
      <c r="J72" t="s">
        <v>41</v>
      </c>
      <c r="K72" t="s">
        <v>6</v>
      </c>
    </row>
    <row r="73" spans="1:11">
      <c r="A73" t="s">
        <v>173</v>
      </c>
      <c r="B73" t="s">
        <v>174</v>
      </c>
      <c r="C73" s="4">
        <v>46049</v>
      </c>
      <c r="D73" s="6">
        <v>3000</v>
      </c>
      <c r="E73">
        <v>18</v>
      </c>
      <c r="F73" t="s">
        <v>2</v>
      </c>
      <c r="G73" t="s">
        <v>35</v>
      </c>
      <c r="H73">
        <v>10</v>
      </c>
      <c r="I73" t="s">
        <v>36</v>
      </c>
      <c r="J73" t="s">
        <v>41</v>
      </c>
      <c r="K73" t="s">
        <v>5</v>
      </c>
    </row>
    <row r="74" spans="1:11">
      <c r="A74" t="s">
        <v>175</v>
      </c>
      <c r="B74" t="s">
        <v>176</v>
      </c>
      <c r="C74" s="4">
        <v>46073</v>
      </c>
      <c r="D74" s="6">
        <v>6500</v>
      </c>
      <c r="E74">
        <v>12</v>
      </c>
      <c r="F74" t="s">
        <v>3</v>
      </c>
      <c r="G74" t="s">
        <v>35</v>
      </c>
      <c r="H74">
        <v>6</v>
      </c>
      <c r="I74" t="s">
        <v>36</v>
      </c>
      <c r="J74" t="s">
        <v>23</v>
      </c>
      <c r="K74" t="s">
        <v>5</v>
      </c>
    </row>
    <row r="75" spans="1:11">
      <c r="A75" t="s">
        <v>177</v>
      </c>
      <c r="B75" t="s">
        <v>178</v>
      </c>
      <c r="C75" s="4">
        <v>46055</v>
      </c>
      <c r="D75" s="6">
        <v>3000</v>
      </c>
      <c r="E75">
        <v>24</v>
      </c>
      <c r="F75" t="s">
        <v>2</v>
      </c>
      <c r="G75" t="s">
        <v>7</v>
      </c>
      <c r="H75">
        <v>1</v>
      </c>
      <c r="I75" t="s">
        <v>44</v>
      </c>
      <c r="J75" t="s">
        <v>23</v>
      </c>
      <c r="K75" t="s">
        <v>7</v>
      </c>
    </row>
    <row r="76" spans="1:11">
      <c r="A76" t="s">
        <v>179</v>
      </c>
      <c r="B76" t="s">
        <v>180</v>
      </c>
      <c r="C76" s="4">
        <v>46099</v>
      </c>
      <c r="D76" s="6">
        <v>6500</v>
      </c>
      <c r="E76">
        <v>12</v>
      </c>
      <c r="F76" t="s">
        <v>3</v>
      </c>
      <c r="G76" t="s">
        <v>26</v>
      </c>
      <c r="H76">
        <v>2</v>
      </c>
      <c r="I76" t="s">
        <v>27</v>
      </c>
      <c r="J76" t="s">
        <v>28</v>
      </c>
      <c r="K76" t="s">
        <v>6</v>
      </c>
    </row>
    <row r="77" spans="1:11">
      <c r="A77" t="s">
        <v>181</v>
      </c>
      <c r="B77" t="s">
        <v>182</v>
      </c>
      <c r="C77" s="4">
        <v>46087</v>
      </c>
      <c r="D77" s="6">
        <v>5000</v>
      </c>
      <c r="E77">
        <v>24</v>
      </c>
      <c r="F77" t="s">
        <v>2</v>
      </c>
      <c r="G77" t="s">
        <v>31</v>
      </c>
      <c r="H77">
        <v>11</v>
      </c>
      <c r="I77" t="s">
        <v>32</v>
      </c>
      <c r="J77" t="s">
        <v>28</v>
      </c>
      <c r="K77" t="s">
        <v>6</v>
      </c>
    </row>
    <row r="78" spans="1:11">
      <c r="A78" t="s">
        <v>183</v>
      </c>
      <c r="B78" t="s">
        <v>184</v>
      </c>
      <c r="C78" s="4">
        <v>46057</v>
      </c>
      <c r="D78" s="6">
        <v>4000</v>
      </c>
      <c r="E78">
        <v>18</v>
      </c>
      <c r="F78" t="s">
        <v>3</v>
      </c>
      <c r="G78" t="s">
        <v>31</v>
      </c>
      <c r="H78">
        <v>15</v>
      </c>
      <c r="I78" t="s">
        <v>32</v>
      </c>
      <c r="J78" t="s">
        <v>23</v>
      </c>
      <c r="K78" t="s">
        <v>6</v>
      </c>
    </row>
    <row r="79" spans="1:11">
      <c r="A79" t="s">
        <v>185</v>
      </c>
      <c r="B79" t="s">
        <v>186</v>
      </c>
      <c r="C79" s="4">
        <v>46045</v>
      </c>
      <c r="D79" s="6">
        <v>8000</v>
      </c>
      <c r="E79">
        <v>36</v>
      </c>
      <c r="F79" t="s">
        <v>3</v>
      </c>
      <c r="G79" t="s">
        <v>26</v>
      </c>
      <c r="H79">
        <v>17</v>
      </c>
      <c r="I79" t="s">
        <v>27</v>
      </c>
      <c r="J79" t="s">
        <v>41</v>
      </c>
      <c r="K79" t="s">
        <v>6</v>
      </c>
    </row>
    <row r="80" spans="1:11">
      <c r="A80" t="s">
        <v>187</v>
      </c>
      <c r="B80" t="s">
        <v>188</v>
      </c>
      <c r="C80" s="4">
        <v>46075</v>
      </c>
      <c r="D80" s="6">
        <v>2500</v>
      </c>
      <c r="E80">
        <v>36</v>
      </c>
      <c r="F80" t="s">
        <v>3</v>
      </c>
      <c r="G80" t="s">
        <v>26</v>
      </c>
      <c r="H80">
        <v>13</v>
      </c>
      <c r="I80" t="s">
        <v>27</v>
      </c>
      <c r="J80" t="s">
        <v>23</v>
      </c>
      <c r="K80" t="s">
        <v>6</v>
      </c>
    </row>
    <row r="81" spans="1:11">
      <c r="A81" t="s">
        <v>189</v>
      </c>
      <c r="B81" t="s">
        <v>190</v>
      </c>
      <c r="C81" s="4">
        <v>46082</v>
      </c>
      <c r="D81" s="6">
        <v>3000</v>
      </c>
      <c r="E81">
        <v>36</v>
      </c>
      <c r="F81" t="s">
        <v>2</v>
      </c>
      <c r="G81" t="s">
        <v>35</v>
      </c>
      <c r="H81">
        <v>3</v>
      </c>
      <c r="I81" t="s">
        <v>36</v>
      </c>
      <c r="J81" t="s">
        <v>28</v>
      </c>
      <c r="K81" t="s">
        <v>5</v>
      </c>
    </row>
    <row r="82" spans="1:11">
      <c r="A82" t="s">
        <v>191</v>
      </c>
      <c r="B82" t="s">
        <v>192</v>
      </c>
      <c r="C82" s="4">
        <v>46093</v>
      </c>
      <c r="D82" s="6">
        <v>3000</v>
      </c>
      <c r="E82">
        <v>24</v>
      </c>
      <c r="F82" t="s">
        <v>2</v>
      </c>
      <c r="G82" t="s">
        <v>35</v>
      </c>
      <c r="H82">
        <v>7</v>
      </c>
      <c r="I82" t="s">
        <v>36</v>
      </c>
      <c r="J82" t="s">
        <v>28</v>
      </c>
      <c r="K82" t="s">
        <v>5</v>
      </c>
    </row>
    <row r="83" spans="1:11">
      <c r="A83" t="s">
        <v>193</v>
      </c>
      <c r="B83" t="s">
        <v>194</v>
      </c>
      <c r="C83" s="4">
        <v>46038</v>
      </c>
      <c r="D83" s="6">
        <v>2500</v>
      </c>
      <c r="E83">
        <v>18</v>
      </c>
      <c r="F83" t="s">
        <v>2</v>
      </c>
      <c r="G83" t="s">
        <v>21</v>
      </c>
      <c r="H83">
        <v>2</v>
      </c>
      <c r="I83" t="s">
        <v>22</v>
      </c>
      <c r="J83" t="s">
        <v>41</v>
      </c>
      <c r="K83" t="s">
        <v>5</v>
      </c>
    </row>
    <row r="84" spans="1:11">
      <c r="A84" t="s">
        <v>195</v>
      </c>
      <c r="B84" t="s">
        <v>196</v>
      </c>
      <c r="C84" s="4">
        <v>46062</v>
      </c>
      <c r="D84" s="6">
        <v>4000</v>
      </c>
      <c r="E84">
        <v>36</v>
      </c>
      <c r="F84" t="s">
        <v>3</v>
      </c>
      <c r="G84" t="s">
        <v>35</v>
      </c>
      <c r="H84">
        <v>6</v>
      </c>
      <c r="I84" t="s">
        <v>36</v>
      </c>
      <c r="J84" t="s">
        <v>23</v>
      </c>
      <c r="K84" t="s">
        <v>5</v>
      </c>
    </row>
    <row r="85" spans="1:11">
      <c r="A85" t="s">
        <v>197</v>
      </c>
      <c r="B85" t="s">
        <v>198</v>
      </c>
      <c r="C85" s="4">
        <v>46039</v>
      </c>
      <c r="D85" s="6">
        <v>4000</v>
      </c>
      <c r="E85">
        <v>18</v>
      </c>
      <c r="F85" t="s">
        <v>3</v>
      </c>
      <c r="G85" t="s">
        <v>21</v>
      </c>
      <c r="H85">
        <v>12</v>
      </c>
      <c r="I85" t="s">
        <v>22</v>
      </c>
      <c r="J85" t="s">
        <v>41</v>
      </c>
      <c r="K85" t="s">
        <v>5</v>
      </c>
    </row>
    <row r="86" spans="1:11">
      <c r="A86" t="s">
        <v>199</v>
      </c>
      <c r="B86" t="s">
        <v>200</v>
      </c>
      <c r="C86" s="4">
        <v>46083</v>
      </c>
      <c r="D86" s="6">
        <v>5000</v>
      </c>
      <c r="E86">
        <v>18</v>
      </c>
      <c r="F86" t="s">
        <v>2</v>
      </c>
      <c r="G86" t="s">
        <v>35</v>
      </c>
      <c r="H86">
        <v>2</v>
      </c>
      <c r="I86" t="s">
        <v>36</v>
      </c>
      <c r="J86" t="s">
        <v>28</v>
      </c>
      <c r="K86" t="s">
        <v>5</v>
      </c>
    </row>
    <row r="87" spans="1:11">
      <c r="A87" t="s">
        <v>201</v>
      </c>
      <c r="B87" t="s">
        <v>202</v>
      </c>
      <c r="C87" s="4">
        <v>46087</v>
      </c>
      <c r="D87" s="6">
        <v>3000</v>
      </c>
      <c r="E87">
        <v>18</v>
      </c>
      <c r="F87" t="s">
        <v>3</v>
      </c>
      <c r="G87" t="s">
        <v>26</v>
      </c>
      <c r="H87">
        <v>7</v>
      </c>
      <c r="I87" t="s">
        <v>27</v>
      </c>
      <c r="J87" t="s">
        <v>28</v>
      </c>
      <c r="K87" t="s">
        <v>6</v>
      </c>
    </row>
    <row r="88" spans="1:11">
      <c r="A88" t="s">
        <v>203</v>
      </c>
      <c r="B88" t="s">
        <v>204</v>
      </c>
      <c r="C88" s="4">
        <v>46096</v>
      </c>
      <c r="D88" s="6">
        <v>1500</v>
      </c>
      <c r="E88">
        <v>36</v>
      </c>
      <c r="F88" t="s">
        <v>2</v>
      </c>
      <c r="G88" t="s">
        <v>21</v>
      </c>
      <c r="H88">
        <v>12</v>
      </c>
      <c r="I88" t="s">
        <v>22</v>
      </c>
      <c r="J88" t="s">
        <v>28</v>
      </c>
      <c r="K88" t="s">
        <v>5</v>
      </c>
    </row>
    <row r="89" spans="1:11">
      <c r="A89" t="s">
        <v>205</v>
      </c>
      <c r="B89" t="s">
        <v>206</v>
      </c>
      <c r="C89" s="4">
        <v>46023</v>
      </c>
      <c r="D89" s="6">
        <v>8000</v>
      </c>
      <c r="E89">
        <v>12</v>
      </c>
      <c r="F89" t="s">
        <v>3</v>
      </c>
      <c r="G89" t="s">
        <v>35</v>
      </c>
      <c r="H89">
        <v>10</v>
      </c>
      <c r="I89" t="s">
        <v>36</v>
      </c>
      <c r="J89" t="s">
        <v>41</v>
      </c>
      <c r="K89" t="s">
        <v>5</v>
      </c>
    </row>
    <row r="90" spans="1:11">
      <c r="A90" t="s">
        <v>207</v>
      </c>
      <c r="B90" t="s">
        <v>208</v>
      </c>
      <c r="C90" s="4">
        <v>46083</v>
      </c>
      <c r="D90" s="6">
        <v>4000</v>
      </c>
      <c r="E90">
        <v>18</v>
      </c>
      <c r="F90" t="s">
        <v>2</v>
      </c>
      <c r="G90" t="s">
        <v>31</v>
      </c>
      <c r="H90">
        <v>13</v>
      </c>
      <c r="I90" t="s">
        <v>32</v>
      </c>
      <c r="J90" t="s">
        <v>28</v>
      </c>
      <c r="K90" t="s">
        <v>6</v>
      </c>
    </row>
    <row r="91" spans="1:11">
      <c r="A91" t="s">
        <v>209</v>
      </c>
      <c r="B91" t="s">
        <v>210</v>
      </c>
      <c r="C91" s="4">
        <v>46046</v>
      </c>
      <c r="D91" s="6">
        <v>5000</v>
      </c>
      <c r="E91">
        <v>24</v>
      </c>
      <c r="F91" t="s">
        <v>2</v>
      </c>
      <c r="G91" t="s">
        <v>35</v>
      </c>
      <c r="H91">
        <v>12</v>
      </c>
      <c r="I91" t="s">
        <v>36</v>
      </c>
      <c r="J91" t="s">
        <v>41</v>
      </c>
      <c r="K91" t="s">
        <v>5</v>
      </c>
    </row>
    <row r="92" spans="1:11">
      <c r="A92" t="s">
        <v>211</v>
      </c>
      <c r="B92" t="s">
        <v>212</v>
      </c>
      <c r="C92" s="4">
        <v>46105</v>
      </c>
      <c r="D92" s="6">
        <v>8000</v>
      </c>
      <c r="E92">
        <v>36</v>
      </c>
      <c r="F92" t="s">
        <v>3</v>
      </c>
      <c r="G92" t="s">
        <v>21</v>
      </c>
      <c r="H92">
        <v>5</v>
      </c>
      <c r="I92" t="s">
        <v>22</v>
      </c>
      <c r="J92" t="s">
        <v>28</v>
      </c>
      <c r="K92" t="s">
        <v>5</v>
      </c>
    </row>
    <row r="93" spans="1:11">
      <c r="A93" t="s">
        <v>213</v>
      </c>
      <c r="B93" t="s">
        <v>214</v>
      </c>
      <c r="C93" s="4">
        <v>46071</v>
      </c>
      <c r="D93" s="6">
        <v>6500</v>
      </c>
      <c r="E93">
        <v>24</v>
      </c>
      <c r="F93" t="s">
        <v>3</v>
      </c>
      <c r="G93" t="s">
        <v>35</v>
      </c>
      <c r="H93">
        <v>5</v>
      </c>
      <c r="I93" t="s">
        <v>36</v>
      </c>
      <c r="J93" t="s">
        <v>23</v>
      </c>
      <c r="K93" t="s">
        <v>5</v>
      </c>
    </row>
    <row r="94" spans="1:11">
      <c r="A94" t="s">
        <v>215</v>
      </c>
      <c r="B94" t="s">
        <v>216</v>
      </c>
      <c r="C94" s="4">
        <v>46055</v>
      </c>
      <c r="D94" s="6">
        <v>5000</v>
      </c>
      <c r="E94">
        <v>12</v>
      </c>
      <c r="F94" t="s">
        <v>2</v>
      </c>
      <c r="G94" t="s">
        <v>31</v>
      </c>
      <c r="H94">
        <v>5</v>
      </c>
      <c r="I94" t="s">
        <v>32</v>
      </c>
      <c r="J94" t="s">
        <v>23</v>
      </c>
      <c r="K94" t="s">
        <v>6</v>
      </c>
    </row>
    <row r="95" spans="1:11">
      <c r="A95" t="s">
        <v>217</v>
      </c>
      <c r="B95" t="s">
        <v>218</v>
      </c>
      <c r="C95" s="4">
        <v>46085</v>
      </c>
      <c r="D95" s="6">
        <v>2000</v>
      </c>
      <c r="E95">
        <v>18</v>
      </c>
      <c r="F95" t="s">
        <v>3</v>
      </c>
      <c r="G95" t="s">
        <v>26</v>
      </c>
      <c r="H95">
        <v>12</v>
      </c>
      <c r="I95" t="s">
        <v>27</v>
      </c>
      <c r="J95" t="s">
        <v>28</v>
      </c>
      <c r="K95" t="s">
        <v>6</v>
      </c>
    </row>
    <row r="96" spans="1:11">
      <c r="A96" t="s">
        <v>219</v>
      </c>
      <c r="B96" t="s">
        <v>220</v>
      </c>
      <c r="C96" s="4">
        <v>46081</v>
      </c>
      <c r="D96" s="6">
        <v>5000</v>
      </c>
      <c r="E96">
        <v>36</v>
      </c>
      <c r="F96" t="s">
        <v>2</v>
      </c>
      <c r="G96" t="s">
        <v>26</v>
      </c>
      <c r="H96">
        <v>6</v>
      </c>
      <c r="I96" t="s">
        <v>27</v>
      </c>
      <c r="J96" t="s">
        <v>23</v>
      </c>
      <c r="K96" t="s">
        <v>6</v>
      </c>
    </row>
    <row r="97" spans="1:11">
      <c r="A97" t="s">
        <v>221</v>
      </c>
      <c r="B97" t="s">
        <v>222</v>
      </c>
      <c r="C97" s="4">
        <v>46042</v>
      </c>
      <c r="D97" s="6">
        <v>8000</v>
      </c>
      <c r="E97">
        <v>18</v>
      </c>
      <c r="F97" t="s">
        <v>2</v>
      </c>
      <c r="G97" t="s">
        <v>26</v>
      </c>
      <c r="H97">
        <v>16</v>
      </c>
      <c r="I97" t="s">
        <v>27</v>
      </c>
      <c r="J97" t="s">
        <v>41</v>
      </c>
      <c r="K97" t="s">
        <v>6</v>
      </c>
    </row>
    <row r="98" spans="1:11">
      <c r="A98" t="s">
        <v>223</v>
      </c>
      <c r="B98" t="s">
        <v>224</v>
      </c>
      <c r="C98" s="4">
        <v>46047</v>
      </c>
      <c r="D98" s="6">
        <v>3000</v>
      </c>
      <c r="E98">
        <v>12</v>
      </c>
      <c r="F98" t="s">
        <v>2</v>
      </c>
      <c r="G98" t="s">
        <v>35</v>
      </c>
      <c r="H98">
        <v>9</v>
      </c>
      <c r="I98" t="s">
        <v>36</v>
      </c>
      <c r="J98" t="s">
        <v>41</v>
      </c>
      <c r="K98" t="s">
        <v>5</v>
      </c>
    </row>
    <row r="99" spans="1:11">
      <c r="A99" t="s">
        <v>225</v>
      </c>
      <c r="B99" t="s">
        <v>226</v>
      </c>
      <c r="C99" s="4">
        <v>46091</v>
      </c>
      <c r="D99" s="6">
        <v>8000</v>
      </c>
      <c r="E99">
        <v>18</v>
      </c>
      <c r="F99" t="s">
        <v>2</v>
      </c>
      <c r="G99" t="s">
        <v>21</v>
      </c>
      <c r="H99">
        <v>5</v>
      </c>
      <c r="I99" t="s">
        <v>22</v>
      </c>
      <c r="J99" t="s">
        <v>28</v>
      </c>
      <c r="K99" t="s">
        <v>5</v>
      </c>
    </row>
    <row r="100" spans="1:11">
      <c r="A100" t="s">
        <v>227</v>
      </c>
      <c r="B100" t="s">
        <v>228</v>
      </c>
      <c r="C100" s="4">
        <v>46056</v>
      </c>
      <c r="D100" s="6">
        <v>5000</v>
      </c>
      <c r="E100">
        <v>36</v>
      </c>
      <c r="F100" t="s">
        <v>2</v>
      </c>
      <c r="G100" t="s">
        <v>21</v>
      </c>
      <c r="H100">
        <v>5</v>
      </c>
      <c r="I100" t="s">
        <v>22</v>
      </c>
      <c r="J100" t="s">
        <v>23</v>
      </c>
      <c r="K100" t="s">
        <v>5</v>
      </c>
    </row>
    <row r="101" spans="1:11">
      <c r="A101" t="s">
        <v>229</v>
      </c>
      <c r="B101" t="s">
        <v>230</v>
      </c>
      <c r="C101" s="4">
        <v>46106</v>
      </c>
      <c r="D101" s="6">
        <v>6500</v>
      </c>
      <c r="E101">
        <v>18</v>
      </c>
      <c r="F101" t="s">
        <v>2</v>
      </c>
      <c r="G101" t="s">
        <v>26</v>
      </c>
      <c r="H101">
        <v>1</v>
      </c>
      <c r="I101" t="s">
        <v>27</v>
      </c>
      <c r="J101" t="s">
        <v>28</v>
      </c>
      <c r="K101" t="s">
        <v>6</v>
      </c>
    </row>
    <row r="102" spans="1:11">
      <c r="A102" t="s">
        <v>231</v>
      </c>
      <c r="B102" t="s">
        <v>232</v>
      </c>
      <c r="C102" s="4">
        <v>46043</v>
      </c>
      <c r="D102" s="6">
        <v>5000</v>
      </c>
      <c r="E102">
        <v>12</v>
      </c>
      <c r="F102" t="s">
        <v>2</v>
      </c>
      <c r="G102" t="s">
        <v>7</v>
      </c>
      <c r="H102">
        <v>1</v>
      </c>
      <c r="I102" t="s">
        <v>44</v>
      </c>
      <c r="J102" t="s">
        <v>41</v>
      </c>
      <c r="K102" t="s">
        <v>7</v>
      </c>
    </row>
    <row r="103" spans="1:11">
      <c r="A103" t="s">
        <v>233</v>
      </c>
      <c r="B103" t="s">
        <v>234</v>
      </c>
      <c r="C103" s="4">
        <v>46093</v>
      </c>
      <c r="D103" s="6">
        <v>5000</v>
      </c>
      <c r="E103">
        <v>24</v>
      </c>
      <c r="F103" t="s">
        <v>3</v>
      </c>
      <c r="G103" t="s">
        <v>35</v>
      </c>
      <c r="H103">
        <v>5</v>
      </c>
      <c r="I103" t="s">
        <v>36</v>
      </c>
      <c r="J103" t="s">
        <v>28</v>
      </c>
      <c r="K103" t="s">
        <v>5</v>
      </c>
    </row>
    <row r="104" spans="1:11">
      <c r="A104" t="s">
        <v>235</v>
      </c>
      <c r="B104" t="s">
        <v>236</v>
      </c>
      <c r="C104" s="4">
        <v>46047</v>
      </c>
      <c r="D104" s="6">
        <v>1500</v>
      </c>
      <c r="E104">
        <v>36</v>
      </c>
      <c r="F104" t="s">
        <v>3</v>
      </c>
      <c r="G104" t="s">
        <v>35</v>
      </c>
      <c r="H104">
        <v>8</v>
      </c>
      <c r="I104" t="s">
        <v>36</v>
      </c>
      <c r="J104" t="s">
        <v>41</v>
      </c>
      <c r="K104" t="s">
        <v>5</v>
      </c>
    </row>
    <row r="105" spans="1:11">
      <c r="A105" t="s">
        <v>237</v>
      </c>
      <c r="B105" t="s">
        <v>238</v>
      </c>
      <c r="C105" s="4">
        <v>46047</v>
      </c>
      <c r="D105" s="6">
        <v>5000</v>
      </c>
      <c r="E105">
        <v>24</v>
      </c>
      <c r="F105" t="s">
        <v>2</v>
      </c>
      <c r="G105" t="s">
        <v>21</v>
      </c>
      <c r="H105">
        <v>10</v>
      </c>
      <c r="I105" t="s">
        <v>22</v>
      </c>
      <c r="J105" t="s">
        <v>41</v>
      </c>
      <c r="K105" t="s">
        <v>5</v>
      </c>
    </row>
    <row r="106" spans="1:11">
      <c r="A106" t="s">
        <v>239</v>
      </c>
      <c r="B106" t="s">
        <v>240</v>
      </c>
      <c r="C106" s="4">
        <v>46023</v>
      </c>
      <c r="D106" s="6">
        <v>4000</v>
      </c>
      <c r="E106">
        <v>24</v>
      </c>
      <c r="F106" t="s">
        <v>2</v>
      </c>
      <c r="G106" t="s">
        <v>26</v>
      </c>
      <c r="H106">
        <v>18</v>
      </c>
      <c r="I106" t="s">
        <v>27</v>
      </c>
      <c r="J106" t="s">
        <v>41</v>
      </c>
      <c r="K106" t="s">
        <v>6</v>
      </c>
    </row>
    <row r="107" spans="1:11">
      <c r="A107" t="s">
        <v>241</v>
      </c>
      <c r="B107" t="s">
        <v>242</v>
      </c>
      <c r="C107" s="4">
        <v>46044</v>
      </c>
      <c r="D107" s="6">
        <v>3000</v>
      </c>
      <c r="E107">
        <v>36</v>
      </c>
      <c r="F107" t="s">
        <v>3</v>
      </c>
      <c r="G107" t="s">
        <v>35</v>
      </c>
      <c r="H107">
        <v>9</v>
      </c>
      <c r="I107" t="s">
        <v>36</v>
      </c>
      <c r="J107" t="s">
        <v>41</v>
      </c>
      <c r="K107" t="s">
        <v>5</v>
      </c>
    </row>
    <row r="108" spans="1:11">
      <c r="A108" t="s">
        <v>243</v>
      </c>
      <c r="B108" t="s">
        <v>244</v>
      </c>
      <c r="C108" s="4">
        <v>46106</v>
      </c>
      <c r="D108" s="6">
        <v>5000</v>
      </c>
      <c r="E108">
        <v>24</v>
      </c>
      <c r="F108" t="s">
        <v>3</v>
      </c>
      <c r="G108" t="s">
        <v>26</v>
      </c>
      <c r="H108">
        <v>3</v>
      </c>
      <c r="I108" t="s">
        <v>27</v>
      </c>
      <c r="J108" t="s">
        <v>28</v>
      </c>
      <c r="K108" t="s">
        <v>6</v>
      </c>
    </row>
    <row r="109" spans="1:11">
      <c r="A109" t="s">
        <v>245</v>
      </c>
      <c r="B109" t="s">
        <v>246</v>
      </c>
      <c r="C109" s="4">
        <v>46088</v>
      </c>
      <c r="D109" s="6">
        <v>4000</v>
      </c>
      <c r="E109">
        <v>12</v>
      </c>
      <c r="F109" t="s">
        <v>2</v>
      </c>
      <c r="G109" t="s">
        <v>35</v>
      </c>
      <c r="H109">
        <v>9</v>
      </c>
      <c r="I109" t="s">
        <v>36</v>
      </c>
      <c r="J109" t="s">
        <v>28</v>
      </c>
      <c r="K109" t="s">
        <v>5</v>
      </c>
    </row>
    <row r="110" spans="1:11">
      <c r="A110" t="s">
        <v>247</v>
      </c>
      <c r="B110" t="s">
        <v>248</v>
      </c>
      <c r="C110" s="4">
        <v>46105</v>
      </c>
      <c r="D110" s="6">
        <v>4000</v>
      </c>
      <c r="E110">
        <v>24</v>
      </c>
      <c r="F110" t="s">
        <v>2</v>
      </c>
      <c r="G110" t="s">
        <v>21</v>
      </c>
      <c r="H110">
        <v>12</v>
      </c>
      <c r="I110" t="s">
        <v>22</v>
      </c>
      <c r="J110" t="s">
        <v>28</v>
      </c>
      <c r="K110" t="s">
        <v>5</v>
      </c>
    </row>
    <row r="111" spans="1:11">
      <c r="A111" t="s">
        <v>249</v>
      </c>
      <c r="B111" t="s">
        <v>250</v>
      </c>
      <c r="C111" s="4">
        <v>46032</v>
      </c>
      <c r="D111" s="6">
        <v>3000</v>
      </c>
      <c r="E111">
        <v>12</v>
      </c>
      <c r="F111" t="s">
        <v>3</v>
      </c>
      <c r="G111" t="s">
        <v>21</v>
      </c>
      <c r="H111">
        <v>10</v>
      </c>
      <c r="I111" t="s">
        <v>22</v>
      </c>
      <c r="J111" t="s">
        <v>41</v>
      </c>
      <c r="K111" t="s">
        <v>5</v>
      </c>
    </row>
    <row r="112" spans="1:11">
      <c r="A112" t="s">
        <v>251</v>
      </c>
      <c r="B112" t="s">
        <v>252</v>
      </c>
      <c r="C112" s="4">
        <v>46025</v>
      </c>
      <c r="D112" s="6">
        <v>4000</v>
      </c>
      <c r="E112">
        <v>12</v>
      </c>
      <c r="F112" t="s">
        <v>3</v>
      </c>
      <c r="G112" t="s">
        <v>21</v>
      </c>
      <c r="H112">
        <v>2</v>
      </c>
      <c r="I112" t="s">
        <v>22</v>
      </c>
      <c r="J112" t="s">
        <v>41</v>
      </c>
      <c r="K112" t="s">
        <v>5</v>
      </c>
    </row>
    <row r="113" spans="1:11">
      <c r="A113" t="s">
        <v>253</v>
      </c>
      <c r="B113" t="s">
        <v>254</v>
      </c>
      <c r="C113" s="4">
        <v>46091</v>
      </c>
      <c r="D113" s="6">
        <v>3000</v>
      </c>
      <c r="E113">
        <v>36</v>
      </c>
      <c r="F113" t="s">
        <v>3</v>
      </c>
      <c r="G113" t="s">
        <v>35</v>
      </c>
      <c r="H113">
        <v>6</v>
      </c>
      <c r="I113" t="s">
        <v>36</v>
      </c>
      <c r="J113" t="s">
        <v>28</v>
      </c>
      <c r="K113" t="s">
        <v>5</v>
      </c>
    </row>
    <row r="114" spans="1:11">
      <c r="A114" t="s">
        <v>255</v>
      </c>
      <c r="B114" t="s">
        <v>256</v>
      </c>
      <c r="C114" s="4">
        <v>46072</v>
      </c>
      <c r="D114" s="6">
        <v>6500</v>
      </c>
      <c r="E114">
        <v>18</v>
      </c>
      <c r="F114" t="s">
        <v>3</v>
      </c>
      <c r="G114" t="s">
        <v>35</v>
      </c>
      <c r="H114">
        <v>9</v>
      </c>
      <c r="I114" t="s">
        <v>36</v>
      </c>
      <c r="J114" t="s">
        <v>23</v>
      </c>
      <c r="K114" t="s">
        <v>5</v>
      </c>
    </row>
    <row r="115" spans="1:11">
      <c r="A115" t="s">
        <v>257</v>
      </c>
      <c r="B115" t="s">
        <v>258</v>
      </c>
      <c r="C115" s="4">
        <v>46076</v>
      </c>
      <c r="D115" s="6">
        <v>5000</v>
      </c>
      <c r="E115">
        <v>12</v>
      </c>
      <c r="F115" t="s">
        <v>2</v>
      </c>
      <c r="G115" t="s">
        <v>31</v>
      </c>
      <c r="H115">
        <v>16</v>
      </c>
      <c r="I115" t="s">
        <v>32</v>
      </c>
      <c r="J115" t="s">
        <v>23</v>
      </c>
      <c r="K115" t="s">
        <v>6</v>
      </c>
    </row>
    <row r="116" spans="1:11">
      <c r="A116" t="s">
        <v>259</v>
      </c>
      <c r="B116" t="s">
        <v>260</v>
      </c>
      <c r="C116" s="4">
        <v>46031</v>
      </c>
      <c r="D116" s="6">
        <v>1500</v>
      </c>
      <c r="E116">
        <v>24</v>
      </c>
      <c r="F116" t="s">
        <v>3</v>
      </c>
      <c r="G116" t="s">
        <v>21</v>
      </c>
      <c r="H116">
        <v>2</v>
      </c>
      <c r="I116" t="s">
        <v>22</v>
      </c>
      <c r="J116" t="s">
        <v>41</v>
      </c>
      <c r="K116" t="s">
        <v>5</v>
      </c>
    </row>
    <row r="117" spans="1:11">
      <c r="A117" t="s">
        <v>261</v>
      </c>
      <c r="B117" t="s">
        <v>262</v>
      </c>
      <c r="C117" s="4">
        <v>46105</v>
      </c>
      <c r="D117" s="6">
        <v>3000</v>
      </c>
      <c r="E117">
        <v>12</v>
      </c>
      <c r="F117" t="s">
        <v>2</v>
      </c>
      <c r="G117" t="s">
        <v>35</v>
      </c>
      <c r="H117">
        <v>7</v>
      </c>
      <c r="I117" t="s">
        <v>36</v>
      </c>
      <c r="J117" t="s">
        <v>28</v>
      </c>
      <c r="K117" t="s">
        <v>5</v>
      </c>
    </row>
    <row r="118" spans="1:11">
      <c r="A118" t="s">
        <v>263</v>
      </c>
      <c r="B118" t="s">
        <v>264</v>
      </c>
      <c r="C118" s="4">
        <v>46058</v>
      </c>
      <c r="D118" s="6">
        <v>3000</v>
      </c>
      <c r="E118">
        <v>24</v>
      </c>
      <c r="F118" t="s">
        <v>3</v>
      </c>
      <c r="G118" t="s">
        <v>26</v>
      </c>
      <c r="H118">
        <v>7</v>
      </c>
      <c r="I118" t="s">
        <v>27</v>
      </c>
      <c r="J118" t="s">
        <v>23</v>
      </c>
      <c r="K118" t="s">
        <v>6</v>
      </c>
    </row>
    <row r="119" spans="1:11">
      <c r="A119" t="s">
        <v>265</v>
      </c>
      <c r="B119" t="s">
        <v>266</v>
      </c>
      <c r="C119" s="4">
        <v>46043</v>
      </c>
      <c r="D119" s="6">
        <v>4000</v>
      </c>
      <c r="E119">
        <v>36</v>
      </c>
      <c r="F119" t="s">
        <v>2</v>
      </c>
      <c r="G119" t="s">
        <v>26</v>
      </c>
      <c r="H119">
        <v>3</v>
      </c>
      <c r="I119" t="s">
        <v>27</v>
      </c>
      <c r="J119" t="s">
        <v>41</v>
      </c>
      <c r="K119" t="s">
        <v>6</v>
      </c>
    </row>
    <row r="120" spans="1:11">
      <c r="A120" t="s">
        <v>267</v>
      </c>
      <c r="B120" t="s">
        <v>268</v>
      </c>
      <c r="C120" s="4">
        <v>46072</v>
      </c>
      <c r="D120" s="6">
        <v>6500</v>
      </c>
      <c r="E120">
        <v>18</v>
      </c>
      <c r="F120" t="s">
        <v>3</v>
      </c>
      <c r="G120" t="s">
        <v>31</v>
      </c>
      <c r="H120">
        <v>14</v>
      </c>
      <c r="I120" t="s">
        <v>32</v>
      </c>
      <c r="J120" t="s">
        <v>23</v>
      </c>
      <c r="K120" t="s">
        <v>6</v>
      </c>
    </row>
    <row r="121" spans="1:11">
      <c r="A121" t="s">
        <v>269</v>
      </c>
      <c r="B121" t="s">
        <v>270</v>
      </c>
      <c r="C121" s="4">
        <v>46059</v>
      </c>
      <c r="D121" s="6">
        <v>4000</v>
      </c>
      <c r="E121">
        <v>18</v>
      </c>
      <c r="F121" t="s">
        <v>2</v>
      </c>
      <c r="G121" t="s">
        <v>35</v>
      </c>
      <c r="H121">
        <v>7</v>
      </c>
      <c r="I121" t="s">
        <v>36</v>
      </c>
      <c r="J121" t="s">
        <v>23</v>
      </c>
      <c r="K121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1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6" width="22" customWidth="1"/>
    <col min="7" max="7" width="31" customWidth="1"/>
    <col min="8" max="8" width="22" customWidth="1"/>
    <col min="9" max="9" width="42" customWidth="1"/>
    <col min="10" max="11" width="22" customWidth="1"/>
    <col min="12" max="19" width="10" customWidth="1"/>
  </cols>
  <sheetData>
    <row r="1" spans="1:19" ht="40.049999999999997" customHeight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/>
      <c r="K1" s="2"/>
      <c r="L1" s="1"/>
      <c r="M1" s="1"/>
      <c r="N1" s="1"/>
      <c r="O1" s="1"/>
      <c r="P1" s="1"/>
      <c r="Q1" s="1"/>
      <c r="R1" s="1"/>
      <c r="S1" s="1"/>
    </row>
    <row r="2" spans="1:19" ht="22.05" customHeight="1">
      <c r="A2" s="1" t="s">
        <v>19</v>
      </c>
      <c r="B2" s="1" t="s">
        <v>20</v>
      </c>
      <c r="C2" s="1" t="s">
        <v>271</v>
      </c>
      <c r="D2" s="1" t="s">
        <v>272</v>
      </c>
      <c r="E2" s="1" t="s">
        <v>273</v>
      </c>
      <c r="F2" s="1" t="s">
        <v>3</v>
      </c>
      <c r="G2" s="1" t="s">
        <v>21</v>
      </c>
      <c r="H2" s="1" t="s">
        <v>274</v>
      </c>
      <c r="I2" s="1" t="s">
        <v>22</v>
      </c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2.05" customHeight="1">
      <c r="A3" s="1" t="s">
        <v>24</v>
      </c>
      <c r="B3" s="1" t="s">
        <v>25</v>
      </c>
      <c r="C3" s="1" t="s">
        <v>275</v>
      </c>
      <c r="D3" s="1" t="s">
        <v>276</v>
      </c>
      <c r="E3" s="1" t="s">
        <v>273</v>
      </c>
      <c r="F3" s="1" t="s">
        <v>2</v>
      </c>
      <c r="G3" s="1" t="s">
        <v>26</v>
      </c>
      <c r="H3" s="1" t="s">
        <v>277</v>
      </c>
      <c r="I3" s="1" t="s">
        <v>27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2.05" customHeight="1">
      <c r="A4" s="1" t="s">
        <v>29</v>
      </c>
      <c r="B4" s="1" t="s">
        <v>30</v>
      </c>
      <c r="C4" s="1" t="s">
        <v>278</v>
      </c>
      <c r="D4" s="1" t="s">
        <v>279</v>
      </c>
      <c r="E4" s="1" t="s">
        <v>280</v>
      </c>
      <c r="F4" s="1" t="s">
        <v>3</v>
      </c>
      <c r="G4" s="1" t="s">
        <v>31</v>
      </c>
      <c r="H4" s="1" t="s">
        <v>281</v>
      </c>
      <c r="I4" s="1" t="s">
        <v>32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2.05" customHeight="1">
      <c r="A5" s="1" t="s">
        <v>33</v>
      </c>
      <c r="B5" s="1" t="s">
        <v>34</v>
      </c>
      <c r="C5" s="1" t="s">
        <v>282</v>
      </c>
      <c r="D5" s="1" t="s">
        <v>276</v>
      </c>
      <c r="E5" s="1" t="s">
        <v>283</v>
      </c>
      <c r="F5" s="1" t="s">
        <v>2</v>
      </c>
      <c r="G5" s="1" t="s">
        <v>35</v>
      </c>
      <c r="H5" s="1" t="s">
        <v>274</v>
      </c>
      <c r="I5" s="1" t="s">
        <v>36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2.05" customHeight="1">
      <c r="A6" s="1" t="s">
        <v>37</v>
      </c>
      <c r="B6" s="1" t="s">
        <v>38</v>
      </c>
      <c r="C6" s="1" t="s">
        <v>284</v>
      </c>
      <c r="D6" s="1" t="s">
        <v>285</v>
      </c>
      <c r="E6" s="1" t="s">
        <v>286</v>
      </c>
      <c r="F6" s="1" t="s">
        <v>2</v>
      </c>
      <c r="G6" s="1" t="s">
        <v>21</v>
      </c>
      <c r="H6" s="1" t="s">
        <v>287</v>
      </c>
      <c r="I6" s="1" t="s">
        <v>22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2.05" customHeight="1">
      <c r="A7" s="1" t="s">
        <v>39</v>
      </c>
      <c r="B7" s="1" t="s">
        <v>40</v>
      </c>
      <c r="C7" s="1" t="s">
        <v>288</v>
      </c>
      <c r="D7" s="1" t="s">
        <v>289</v>
      </c>
      <c r="E7" s="1" t="s">
        <v>273</v>
      </c>
      <c r="F7" s="1" t="s">
        <v>3</v>
      </c>
      <c r="G7" s="1" t="s">
        <v>35</v>
      </c>
      <c r="H7" s="1" t="s">
        <v>290</v>
      </c>
      <c r="I7" s="1" t="s">
        <v>36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2.05" customHeight="1">
      <c r="A8" s="1" t="s">
        <v>42</v>
      </c>
      <c r="B8" s="1" t="s">
        <v>43</v>
      </c>
      <c r="C8" s="1" t="s">
        <v>291</v>
      </c>
      <c r="D8" s="1" t="s">
        <v>289</v>
      </c>
      <c r="E8" s="1" t="s">
        <v>283</v>
      </c>
      <c r="F8" s="1" t="s">
        <v>3</v>
      </c>
      <c r="G8" s="1" t="s">
        <v>7</v>
      </c>
      <c r="H8" s="1" t="s">
        <v>292</v>
      </c>
      <c r="I8" s="1" t="s">
        <v>44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2.05" customHeight="1">
      <c r="A9" s="1" t="s">
        <v>45</v>
      </c>
      <c r="B9" s="1" t="s">
        <v>46</v>
      </c>
      <c r="C9" s="1" t="s">
        <v>293</v>
      </c>
      <c r="D9" s="1" t="s">
        <v>289</v>
      </c>
      <c r="E9" s="1" t="s">
        <v>273</v>
      </c>
      <c r="F9" s="1" t="s">
        <v>3</v>
      </c>
      <c r="G9" s="1" t="s">
        <v>7</v>
      </c>
      <c r="H9" s="1" t="s">
        <v>294</v>
      </c>
      <c r="I9" s="1" t="s">
        <v>44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2.05" customHeight="1">
      <c r="A10" s="1" t="s">
        <v>47</v>
      </c>
      <c r="B10" s="1" t="s">
        <v>48</v>
      </c>
      <c r="C10" s="1" t="s">
        <v>295</v>
      </c>
      <c r="D10" s="1" t="s">
        <v>296</v>
      </c>
      <c r="E10" s="1" t="s">
        <v>273</v>
      </c>
      <c r="F10" s="1" t="s">
        <v>2</v>
      </c>
      <c r="G10" s="1" t="s">
        <v>31</v>
      </c>
      <c r="H10" s="1" t="s">
        <v>297</v>
      </c>
      <c r="I10" s="1" t="s">
        <v>32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2.05" customHeight="1">
      <c r="A11" s="1" t="s">
        <v>49</v>
      </c>
      <c r="B11" s="1" t="s">
        <v>50</v>
      </c>
      <c r="C11" s="1" t="s">
        <v>298</v>
      </c>
      <c r="D11" s="1" t="s">
        <v>299</v>
      </c>
      <c r="E11" s="1" t="s">
        <v>273</v>
      </c>
      <c r="F11" s="1" t="s">
        <v>2</v>
      </c>
      <c r="G11" s="1" t="s">
        <v>35</v>
      </c>
      <c r="H11" s="1" t="s">
        <v>290</v>
      </c>
      <c r="I11" s="1" t="s">
        <v>36</v>
      </c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2.05" customHeight="1">
      <c r="A12" s="1" t="s">
        <v>51</v>
      </c>
      <c r="B12" s="1" t="s">
        <v>52</v>
      </c>
      <c r="C12" s="1" t="s">
        <v>300</v>
      </c>
      <c r="D12" s="1" t="s">
        <v>289</v>
      </c>
      <c r="E12" s="1" t="s">
        <v>273</v>
      </c>
      <c r="F12" s="1" t="s">
        <v>2</v>
      </c>
      <c r="G12" s="1" t="s">
        <v>35</v>
      </c>
      <c r="H12" s="1" t="s">
        <v>292</v>
      </c>
      <c r="I12" s="1" t="s">
        <v>36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2.05" customHeight="1">
      <c r="A13" s="1" t="s">
        <v>53</v>
      </c>
      <c r="B13" s="1" t="s">
        <v>54</v>
      </c>
      <c r="C13" s="1" t="s">
        <v>293</v>
      </c>
      <c r="D13" s="1" t="s">
        <v>276</v>
      </c>
      <c r="E13" s="1" t="s">
        <v>286</v>
      </c>
      <c r="F13" s="1" t="s">
        <v>3</v>
      </c>
      <c r="G13" s="1" t="s">
        <v>31</v>
      </c>
      <c r="H13" s="1" t="s">
        <v>290</v>
      </c>
      <c r="I13" s="1" t="s">
        <v>32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2.05" customHeight="1">
      <c r="A14" s="1" t="s">
        <v>55</v>
      </c>
      <c r="B14" s="1" t="s">
        <v>56</v>
      </c>
      <c r="C14" s="1" t="s">
        <v>300</v>
      </c>
      <c r="D14" s="1" t="s">
        <v>296</v>
      </c>
      <c r="E14" s="1" t="s">
        <v>286</v>
      </c>
      <c r="F14" s="1" t="s">
        <v>3</v>
      </c>
      <c r="G14" s="1" t="s">
        <v>31</v>
      </c>
      <c r="H14" s="1" t="s">
        <v>277</v>
      </c>
      <c r="I14" s="1" t="s">
        <v>32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2.05" customHeight="1">
      <c r="A15" s="1" t="s">
        <v>57</v>
      </c>
      <c r="B15" s="1" t="s">
        <v>58</v>
      </c>
      <c r="C15" s="1" t="s">
        <v>282</v>
      </c>
      <c r="D15" s="1" t="s">
        <v>272</v>
      </c>
      <c r="E15" s="1" t="s">
        <v>280</v>
      </c>
      <c r="F15" s="1" t="s">
        <v>3</v>
      </c>
      <c r="G15" s="1" t="s">
        <v>35</v>
      </c>
      <c r="H15" s="1" t="s">
        <v>301</v>
      </c>
      <c r="I15" s="1" t="s">
        <v>36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2.05" customHeight="1">
      <c r="A16" s="1" t="s">
        <v>59</v>
      </c>
      <c r="B16" s="1" t="s">
        <v>60</v>
      </c>
      <c r="C16" s="1" t="s">
        <v>302</v>
      </c>
      <c r="D16" s="1" t="s">
        <v>272</v>
      </c>
      <c r="E16" s="1" t="s">
        <v>280</v>
      </c>
      <c r="F16" s="1" t="s">
        <v>2</v>
      </c>
      <c r="G16" s="1" t="s">
        <v>26</v>
      </c>
      <c r="H16" s="1" t="s">
        <v>287</v>
      </c>
      <c r="I16" s="1" t="s">
        <v>27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2.05" customHeight="1">
      <c r="A17" s="1" t="s">
        <v>61</v>
      </c>
      <c r="B17" s="1" t="s">
        <v>62</v>
      </c>
      <c r="C17" s="1" t="s">
        <v>303</v>
      </c>
      <c r="D17" s="1" t="s">
        <v>272</v>
      </c>
      <c r="E17" s="1" t="s">
        <v>286</v>
      </c>
      <c r="F17" s="1" t="s">
        <v>3</v>
      </c>
      <c r="G17" s="1" t="s">
        <v>35</v>
      </c>
      <c r="H17" s="1" t="s">
        <v>281</v>
      </c>
      <c r="I17" s="1" t="s">
        <v>36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2.05" customHeight="1">
      <c r="A18" s="1" t="s">
        <v>63</v>
      </c>
      <c r="B18" s="1" t="s">
        <v>64</v>
      </c>
      <c r="C18" s="1" t="s">
        <v>304</v>
      </c>
      <c r="D18" s="1" t="s">
        <v>276</v>
      </c>
      <c r="E18" s="1" t="s">
        <v>280</v>
      </c>
      <c r="F18" s="1" t="s">
        <v>2</v>
      </c>
      <c r="G18" s="1" t="s">
        <v>21</v>
      </c>
      <c r="H18" s="1" t="s">
        <v>305</v>
      </c>
      <c r="I18" s="1" t="s">
        <v>22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2.05" customHeight="1">
      <c r="A19" s="1" t="s">
        <v>65</v>
      </c>
      <c r="B19" s="1" t="s">
        <v>66</v>
      </c>
      <c r="C19" s="1" t="s">
        <v>306</v>
      </c>
      <c r="D19" s="1" t="s">
        <v>285</v>
      </c>
      <c r="E19" s="1" t="s">
        <v>286</v>
      </c>
      <c r="F19" s="1" t="s">
        <v>3</v>
      </c>
      <c r="G19" s="1" t="s">
        <v>35</v>
      </c>
      <c r="H19" s="1" t="s">
        <v>290</v>
      </c>
      <c r="I19" s="1" t="s">
        <v>36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2.05" customHeight="1">
      <c r="A20" s="1" t="s">
        <v>67</v>
      </c>
      <c r="B20" s="1" t="s">
        <v>68</v>
      </c>
      <c r="C20" s="1" t="s">
        <v>307</v>
      </c>
      <c r="D20" s="1" t="s">
        <v>285</v>
      </c>
      <c r="E20" s="1" t="s">
        <v>280</v>
      </c>
      <c r="F20" s="1" t="s">
        <v>3</v>
      </c>
      <c r="G20" s="1" t="s">
        <v>21</v>
      </c>
      <c r="H20" s="1" t="s">
        <v>294</v>
      </c>
      <c r="I20" s="1" t="s">
        <v>22</v>
      </c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2.05" customHeight="1">
      <c r="A21" s="1" t="s">
        <v>69</v>
      </c>
      <c r="B21" s="1" t="s">
        <v>70</v>
      </c>
      <c r="C21" s="1" t="s">
        <v>308</v>
      </c>
      <c r="D21" s="1" t="s">
        <v>276</v>
      </c>
      <c r="E21" s="1" t="s">
        <v>286</v>
      </c>
      <c r="F21" s="1" t="s">
        <v>3</v>
      </c>
      <c r="G21" s="1" t="s">
        <v>21</v>
      </c>
      <c r="H21" s="1" t="s">
        <v>274</v>
      </c>
      <c r="I21" s="1" t="s">
        <v>22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2.05" customHeight="1">
      <c r="A22" s="1" t="s">
        <v>71</v>
      </c>
      <c r="B22" s="1" t="s">
        <v>72</v>
      </c>
      <c r="C22" s="1" t="s">
        <v>309</v>
      </c>
      <c r="D22" s="1" t="s">
        <v>289</v>
      </c>
      <c r="E22" s="1" t="s">
        <v>273</v>
      </c>
      <c r="F22" s="1" t="s">
        <v>2</v>
      </c>
      <c r="G22" s="1" t="s">
        <v>26</v>
      </c>
      <c r="H22" s="1" t="s">
        <v>274</v>
      </c>
      <c r="I22" s="1" t="s">
        <v>27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2.05" customHeight="1">
      <c r="A23" s="1" t="s">
        <v>73</v>
      </c>
      <c r="B23" s="1" t="s">
        <v>74</v>
      </c>
      <c r="C23" s="1" t="s">
        <v>310</v>
      </c>
      <c r="D23" s="1" t="s">
        <v>276</v>
      </c>
      <c r="E23" s="1" t="s">
        <v>286</v>
      </c>
      <c r="F23" s="1" t="s">
        <v>3</v>
      </c>
      <c r="G23" s="1" t="s">
        <v>35</v>
      </c>
      <c r="H23" s="1" t="s">
        <v>281</v>
      </c>
      <c r="I23" s="1" t="s">
        <v>36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2.05" customHeight="1">
      <c r="A24" s="1" t="s">
        <v>75</v>
      </c>
      <c r="B24" s="1" t="s">
        <v>76</v>
      </c>
      <c r="C24" s="1" t="s">
        <v>311</v>
      </c>
      <c r="D24" s="1" t="s">
        <v>312</v>
      </c>
      <c r="E24" s="1" t="s">
        <v>280</v>
      </c>
      <c r="F24" s="1" t="s">
        <v>2</v>
      </c>
      <c r="G24" s="1" t="s">
        <v>21</v>
      </c>
      <c r="H24" s="1" t="s">
        <v>305</v>
      </c>
      <c r="I24" s="1" t="s">
        <v>22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2.05" customHeight="1">
      <c r="A25" s="1" t="s">
        <v>77</v>
      </c>
      <c r="B25" s="1" t="s">
        <v>78</v>
      </c>
      <c r="C25" s="1" t="s">
        <v>313</v>
      </c>
      <c r="D25" s="1" t="s">
        <v>296</v>
      </c>
      <c r="E25" s="1" t="s">
        <v>286</v>
      </c>
      <c r="F25" s="1" t="s">
        <v>3</v>
      </c>
      <c r="G25" s="1" t="s">
        <v>21</v>
      </c>
      <c r="H25" s="1" t="s">
        <v>297</v>
      </c>
      <c r="I25" s="1" t="s">
        <v>22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2.05" customHeight="1">
      <c r="A26" s="1" t="s">
        <v>79</v>
      </c>
      <c r="B26" s="1" t="s">
        <v>80</v>
      </c>
      <c r="C26" s="1" t="s">
        <v>314</v>
      </c>
      <c r="D26" s="1" t="s">
        <v>296</v>
      </c>
      <c r="E26" s="1" t="s">
        <v>273</v>
      </c>
      <c r="F26" s="1" t="s">
        <v>3</v>
      </c>
      <c r="G26" s="1" t="s">
        <v>35</v>
      </c>
      <c r="H26" s="1" t="s">
        <v>292</v>
      </c>
      <c r="I26" s="1" t="s">
        <v>36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2.05" customHeight="1">
      <c r="A27" s="1" t="s">
        <v>81</v>
      </c>
      <c r="B27" s="1" t="s">
        <v>82</v>
      </c>
      <c r="C27" s="1" t="s">
        <v>311</v>
      </c>
      <c r="D27" s="1" t="s">
        <v>299</v>
      </c>
      <c r="E27" s="1" t="s">
        <v>283</v>
      </c>
      <c r="F27" s="1" t="s">
        <v>3</v>
      </c>
      <c r="G27" s="1" t="s">
        <v>35</v>
      </c>
      <c r="H27" s="1" t="s">
        <v>297</v>
      </c>
      <c r="I27" s="1" t="s">
        <v>36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2.05" customHeight="1">
      <c r="A28" s="1" t="s">
        <v>83</v>
      </c>
      <c r="B28" s="1" t="s">
        <v>84</v>
      </c>
      <c r="C28" s="1" t="s">
        <v>288</v>
      </c>
      <c r="D28" s="1" t="s">
        <v>272</v>
      </c>
      <c r="E28" s="1" t="s">
        <v>283</v>
      </c>
      <c r="F28" s="1" t="s">
        <v>3</v>
      </c>
      <c r="G28" s="1" t="s">
        <v>35</v>
      </c>
      <c r="H28" s="1" t="s">
        <v>290</v>
      </c>
      <c r="I28" s="1" t="s">
        <v>36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2.05" customHeight="1">
      <c r="A29" s="1" t="s">
        <v>85</v>
      </c>
      <c r="B29" s="1" t="s">
        <v>86</v>
      </c>
      <c r="C29" s="1" t="s">
        <v>315</v>
      </c>
      <c r="D29" s="1" t="s">
        <v>276</v>
      </c>
      <c r="E29" s="1" t="s">
        <v>286</v>
      </c>
      <c r="F29" s="1" t="s">
        <v>3</v>
      </c>
      <c r="G29" s="1" t="s">
        <v>21</v>
      </c>
      <c r="H29" s="1" t="s">
        <v>287</v>
      </c>
      <c r="I29" s="1" t="s">
        <v>22</v>
      </c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2.05" customHeight="1">
      <c r="A30" s="1" t="s">
        <v>87</v>
      </c>
      <c r="B30" s="1" t="s">
        <v>88</v>
      </c>
      <c r="C30" s="1" t="s">
        <v>278</v>
      </c>
      <c r="D30" s="1" t="s">
        <v>312</v>
      </c>
      <c r="E30" s="1" t="s">
        <v>280</v>
      </c>
      <c r="F30" s="1" t="s">
        <v>2</v>
      </c>
      <c r="G30" s="1" t="s">
        <v>21</v>
      </c>
      <c r="H30" s="1" t="s">
        <v>283</v>
      </c>
      <c r="I30" s="1" t="s">
        <v>22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2.05" customHeight="1">
      <c r="A31" s="1" t="s">
        <v>89</v>
      </c>
      <c r="B31" s="1" t="s">
        <v>90</v>
      </c>
      <c r="C31" s="1" t="s">
        <v>316</v>
      </c>
      <c r="D31" s="1" t="s">
        <v>289</v>
      </c>
      <c r="E31" s="1" t="s">
        <v>286</v>
      </c>
      <c r="F31" s="1" t="s">
        <v>2</v>
      </c>
      <c r="G31" s="1" t="s">
        <v>35</v>
      </c>
      <c r="H31" s="1" t="s">
        <v>297</v>
      </c>
      <c r="I31" s="1" t="s">
        <v>36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2.05" customHeight="1">
      <c r="A32" s="1" t="s">
        <v>91</v>
      </c>
      <c r="B32" s="1" t="s">
        <v>92</v>
      </c>
      <c r="C32" s="1" t="s">
        <v>316</v>
      </c>
      <c r="D32" s="1" t="s">
        <v>289</v>
      </c>
      <c r="E32" s="1" t="s">
        <v>283</v>
      </c>
      <c r="F32" s="1" t="s">
        <v>2</v>
      </c>
      <c r="G32" s="1" t="s">
        <v>26</v>
      </c>
      <c r="H32" s="1" t="s">
        <v>301</v>
      </c>
      <c r="I32" s="1" t="s">
        <v>27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2.05" customHeight="1">
      <c r="A33" s="1" t="s">
        <v>93</v>
      </c>
      <c r="B33" s="1" t="s">
        <v>94</v>
      </c>
      <c r="C33" s="1" t="s">
        <v>317</v>
      </c>
      <c r="D33" s="1" t="s">
        <v>299</v>
      </c>
      <c r="E33" s="1" t="s">
        <v>280</v>
      </c>
      <c r="F33" s="1" t="s">
        <v>2</v>
      </c>
      <c r="G33" s="1" t="s">
        <v>35</v>
      </c>
      <c r="H33" s="1" t="s">
        <v>274</v>
      </c>
      <c r="I33" s="1" t="s">
        <v>36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2.05" customHeight="1">
      <c r="A34" s="1" t="s">
        <v>95</v>
      </c>
      <c r="B34" s="1" t="s">
        <v>96</v>
      </c>
      <c r="C34" s="1" t="s">
        <v>291</v>
      </c>
      <c r="D34" s="1" t="s">
        <v>285</v>
      </c>
      <c r="E34" s="1" t="s">
        <v>283</v>
      </c>
      <c r="F34" s="1" t="s">
        <v>2</v>
      </c>
      <c r="G34" s="1" t="s">
        <v>26</v>
      </c>
      <c r="H34" s="1" t="s">
        <v>305</v>
      </c>
      <c r="I34" s="1" t="s">
        <v>27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2.05" customHeight="1">
      <c r="A35" s="1" t="s">
        <v>97</v>
      </c>
      <c r="B35" s="1" t="s">
        <v>98</v>
      </c>
      <c r="C35" s="1" t="s">
        <v>318</v>
      </c>
      <c r="D35" s="1" t="s">
        <v>276</v>
      </c>
      <c r="E35" s="1" t="s">
        <v>280</v>
      </c>
      <c r="F35" s="1" t="s">
        <v>3</v>
      </c>
      <c r="G35" s="1" t="s">
        <v>35</v>
      </c>
      <c r="H35" s="1" t="s">
        <v>319</v>
      </c>
      <c r="I35" s="1" t="s">
        <v>36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2.05" customHeight="1">
      <c r="A36" s="1" t="s">
        <v>99</v>
      </c>
      <c r="B36" s="1" t="s">
        <v>100</v>
      </c>
      <c r="C36" s="1" t="s">
        <v>320</v>
      </c>
      <c r="D36" s="1" t="s">
        <v>299</v>
      </c>
      <c r="E36" s="1" t="s">
        <v>286</v>
      </c>
      <c r="F36" s="1" t="s">
        <v>3</v>
      </c>
      <c r="G36" s="1" t="s">
        <v>26</v>
      </c>
      <c r="H36" s="1" t="s">
        <v>321</v>
      </c>
      <c r="I36" s="1" t="s">
        <v>27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2.05" customHeight="1">
      <c r="A37" s="1" t="s">
        <v>101</v>
      </c>
      <c r="B37" s="1" t="s">
        <v>102</v>
      </c>
      <c r="C37" s="1" t="s">
        <v>322</v>
      </c>
      <c r="D37" s="1" t="s">
        <v>296</v>
      </c>
      <c r="E37" s="1" t="s">
        <v>273</v>
      </c>
      <c r="F37" s="1" t="s">
        <v>2</v>
      </c>
      <c r="G37" s="1" t="s">
        <v>31</v>
      </c>
      <c r="H37" s="1" t="s">
        <v>274</v>
      </c>
      <c r="I37" s="1" t="s">
        <v>32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2.05" customHeight="1">
      <c r="A38" s="1" t="s">
        <v>103</v>
      </c>
      <c r="B38" s="1" t="s">
        <v>104</v>
      </c>
      <c r="C38" s="1" t="s">
        <v>323</v>
      </c>
      <c r="D38" s="1" t="s">
        <v>272</v>
      </c>
      <c r="E38" s="1" t="s">
        <v>280</v>
      </c>
      <c r="F38" s="1" t="s">
        <v>3</v>
      </c>
      <c r="G38" s="1" t="s">
        <v>26</v>
      </c>
      <c r="H38" s="1" t="s">
        <v>321</v>
      </c>
      <c r="I38" s="1" t="s">
        <v>27</v>
      </c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2.05" customHeight="1">
      <c r="A39" s="1" t="s">
        <v>105</v>
      </c>
      <c r="B39" s="1" t="s">
        <v>106</v>
      </c>
      <c r="C39" s="1" t="s">
        <v>324</v>
      </c>
      <c r="D39" s="1" t="s">
        <v>296</v>
      </c>
      <c r="E39" s="1" t="s">
        <v>273</v>
      </c>
      <c r="F39" s="1" t="s">
        <v>2</v>
      </c>
      <c r="G39" s="1" t="s">
        <v>26</v>
      </c>
      <c r="H39" s="1" t="s">
        <v>319</v>
      </c>
      <c r="I39" s="1" t="s">
        <v>27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2.05" customHeight="1">
      <c r="A40" s="1" t="s">
        <v>107</v>
      </c>
      <c r="B40" s="1" t="s">
        <v>108</v>
      </c>
      <c r="C40" s="1" t="s">
        <v>325</v>
      </c>
      <c r="D40" s="1" t="s">
        <v>296</v>
      </c>
      <c r="E40" s="1" t="s">
        <v>273</v>
      </c>
      <c r="F40" s="1" t="s">
        <v>3</v>
      </c>
      <c r="G40" s="1" t="s">
        <v>26</v>
      </c>
      <c r="H40" s="1" t="s">
        <v>290</v>
      </c>
      <c r="I40" s="1" t="s">
        <v>27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2.05" customHeight="1">
      <c r="A41" s="1" t="s">
        <v>109</v>
      </c>
      <c r="B41" s="1" t="s">
        <v>110</v>
      </c>
      <c r="C41" s="1" t="s">
        <v>293</v>
      </c>
      <c r="D41" s="1" t="s">
        <v>299</v>
      </c>
      <c r="E41" s="1" t="s">
        <v>286</v>
      </c>
      <c r="F41" s="1" t="s">
        <v>3</v>
      </c>
      <c r="G41" s="1" t="s">
        <v>21</v>
      </c>
      <c r="H41" s="1" t="s">
        <v>274</v>
      </c>
      <c r="I41" s="1" t="s">
        <v>22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2.05" customHeight="1">
      <c r="A42" s="1" t="s">
        <v>111</v>
      </c>
      <c r="B42" s="1" t="s">
        <v>112</v>
      </c>
      <c r="C42" s="1" t="s">
        <v>326</v>
      </c>
      <c r="D42" s="1" t="s">
        <v>279</v>
      </c>
      <c r="E42" s="1" t="s">
        <v>273</v>
      </c>
      <c r="F42" s="1" t="s">
        <v>3</v>
      </c>
      <c r="G42" s="1" t="s">
        <v>26</v>
      </c>
      <c r="H42" s="1" t="s">
        <v>319</v>
      </c>
      <c r="I42" s="1" t="s">
        <v>27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2.05" customHeight="1">
      <c r="A43" s="1" t="s">
        <v>113</v>
      </c>
      <c r="B43" s="1" t="s">
        <v>114</v>
      </c>
      <c r="C43" s="1" t="s">
        <v>327</v>
      </c>
      <c r="D43" s="1" t="s">
        <v>285</v>
      </c>
      <c r="E43" s="1" t="s">
        <v>273</v>
      </c>
      <c r="F43" s="1" t="s">
        <v>2</v>
      </c>
      <c r="G43" s="1" t="s">
        <v>35</v>
      </c>
      <c r="H43" s="1" t="s">
        <v>274</v>
      </c>
      <c r="I43" s="1" t="s">
        <v>36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2.05" customHeight="1">
      <c r="A44" s="1" t="s">
        <v>115</v>
      </c>
      <c r="B44" s="1" t="s">
        <v>116</v>
      </c>
      <c r="C44" s="1" t="s">
        <v>328</v>
      </c>
      <c r="D44" s="1" t="s">
        <v>289</v>
      </c>
      <c r="E44" s="1" t="s">
        <v>280</v>
      </c>
      <c r="F44" s="1" t="s">
        <v>2</v>
      </c>
      <c r="G44" s="1" t="s">
        <v>21</v>
      </c>
      <c r="H44" s="1" t="s">
        <v>290</v>
      </c>
      <c r="I44" s="1" t="s">
        <v>22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2.05" customHeight="1">
      <c r="A45" s="1" t="s">
        <v>117</v>
      </c>
      <c r="B45" s="1" t="s">
        <v>118</v>
      </c>
      <c r="C45" s="1" t="s">
        <v>329</v>
      </c>
      <c r="D45" s="1" t="s">
        <v>272</v>
      </c>
      <c r="E45" s="1" t="s">
        <v>273</v>
      </c>
      <c r="F45" s="1" t="s">
        <v>2</v>
      </c>
      <c r="G45" s="1" t="s">
        <v>35</v>
      </c>
      <c r="H45" s="1" t="s">
        <v>305</v>
      </c>
      <c r="I45" s="1" t="s">
        <v>36</v>
      </c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2.05" customHeight="1">
      <c r="A46" s="1" t="s">
        <v>119</v>
      </c>
      <c r="B46" s="1" t="s">
        <v>120</v>
      </c>
      <c r="C46" s="1" t="s">
        <v>330</v>
      </c>
      <c r="D46" s="1" t="s">
        <v>299</v>
      </c>
      <c r="E46" s="1" t="s">
        <v>280</v>
      </c>
      <c r="F46" s="1" t="s">
        <v>2</v>
      </c>
      <c r="G46" s="1" t="s">
        <v>21</v>
      </c>
      <c r="H46" s="1" t="s">
        <v>281</v>
      </c>
      <c r="I46" s="1" t="s">
        <v>22</v>
      </c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2.05" customHeight="1">
      <c r="A47" s="1" t="s">
        <v>121</v>
      </c>
      <c r="B47" s="1" t="s">
        <v>122</v>
      </c>
      <c r="C47" s="1" t="s">
        <v>328</v>
      </c>
      <c r="D47" s="1" t="s">
        <v>312</v>
      </c>
      <c r="E47" s="1" t="s">
        <v>286</v>
      </c>
      <c r="F47" s="1" t="s">
        <v>2</v>
      </c>
      <c r="G47" s="1" t="s">
        <v>35</v>
      </c>
      <c r="H47" s="1" t="s">
        <v>274</v>
      </c>
      <c r="I47" s="1" t="s">
        <v>36</v>
      </c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2.05" customHeight="1">
      <c r="A48" s="1" t="s">
        <v>123</v>
      </c>
      <c r="B48" s="1" t="s">
        <v>124</v>
      </c>
      <c r="C48" s="1" t="s">
        <v>331</v>
      </c>
      <c r="D48" s="1" t="s">
        <v>272</v>
      </c>
      <c r="E48" s="1" t="s">
        <v>280</v>
      </c>
      <c r="F48" s="1" t="s">
        <v>2</v>
      </c>
      <c r="G48" s="1" t="s">
        <v>21</v>
      </c>
      <c r="H48" s="1" t="s">
        <v>283</v>
      </c>
      <c r="I48" s="1" t="s">
        <v>22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2.05" customHeight="1">
      <c r="A49" s="1" t="s">
        <v>125</v>
      </c>
      <c r="B49" s="1" t="s">
        <v>126</v>
      </c>
      <c r="C49" s="1" t="s">
        <v>311</v>
      </c>
      <c r="D49" s="1" t="s">
        <v>276</v>
      </c>
      <c r="E49" s="1" t="s">
        <v>280</v>
      </c>
      <c r="F49" s="1" t="s">
        <v>3</v>
      </c>
      <c r="G49" s="1" t="s">
        <v>35</v>
      </c>
      <c r="H49" s="1" t="s">
        <v>274</v>
      </c>
      <c r="I49" s="1" t="s">
        <v>36</v>
      </c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2.05" customHeight="1">
      <c r="A50" s="1" t="s">
        <v>127</v>
      </c>
      <c r="B50" s="1" t="s">
        <v>128</v>
      </c>
      <c r="C50" s="1" t="s">
        <v>332</v>
      </c>
      <c r="D50" s="1" t="s">
        <v>279</v>
      </c>
      <c r="E50" s="1" t="s">
        <v>280</v>
      </c>
      <c r="F50" s="1" t="s">
        <v>2</v>
      </c>
      <c r="G50" s="1" t="s">
        <v>26</v>
      </c>
      <c r="H50" s="1" t="s">
        <v>301</v>
      </c>
      <c r="I50" s="1" t="s">
        <v>27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>
      <c r="A51" t="s">
        <v>129</v>
      </c>
      <c r="B51" t="s">
        <v>130</v>
      </c>
      <c r="C51" t="s">
        <v>333</v>
      </c>
      <c r="D51" t="s">
        <v>296</v>
      </c>
      <c r="E51" t="s">
        <v>283</v>
      </c>
      <c r="F51" t="s">
        <v>3</v>
      </c>
      <c r="G51" t="s">
        <v>31</v>
      </c>
      <c r="H51" t="s">
        <v>334</v>
      </c>
      <c r="I51" t="s">
        <v>32</v>
      </c>
    </row>
    <row r="52" spans="1:19">
      <c r="A52" t="s">
        <v>131</v>
      </c>
      <c r="B52" t="s">
        <v>132</v>
      </c>
      <c r="C52" t="s">
        <v>335</v>
      </c>
      <c r="D52" t="s">
        <v>279</v>
      </c>
      <c r="E52" t="s">
        <v>286</v>
      </c>
      <c r="F52" t="s">
        <v>2</v>
      </c>
      <c r="G52" t="s">
        <v>35</v>
      </c>
      <c r="H52" t="s">
        <v>336</v>
      </c>
      <c r="I52" t="s">
        <v>36</v>
      </c>
    </row>
    <row r="53" spans="1:19">
      <c r="A53" t="s">
        <v>133</v>
      </c>
      <c r="B53" t="s">
        <v>134</v>
      </c>
      <c r="C53" t="s">
        <v>337</v>
      </c>
      <c r="D53" t="s">
        <v>276</v>
      </c>
      <c r="E53" t="s">
        <v>280</v>
      </c>
      <c r="F53" t="s">
        <v>2</v>
      </c>
      <c r="G53" t="s">
        <v>21</v>
      </c>
      <c r="H53" t="s">
        <v>274</v>
      </c>
      <c r="I53" t="s">
        <v>22</v>
      </c>
    </row>
    <row r="54" spans="1:19">
      <c r="A54" t="s">
        <v>135</v>
      </c>
      <c r="B54" t="s">
        <v>136</v>
      </c>
      <c r="C54" t="s">
        <v>313</v>
      </c>
      <c r="D54" t="s">
        <v>299</v>
      </c>
      <c r="E54" t="s">
        <v>283</v>
      </c>
      <c r="F54" t="s">
        <v>3</v>
      </c>
      <c r="G54" t="s">
        <v>35</v>
      </c>
      <c r="H54" t="s">
        <v>336</v>
      </c>
      <c r="I54" t="s">
        <v>36</v>
      </c>
    </row>
    <row r="55" spans="1:19">
      <c r="A55" t="s">
        <v>137</v>
      </c>
      <c r="B55" t="s">
        <v>138</v>
      </c>
      <c r="C55" t="s">
        <v>329</v>
      </c>
      <c r="D55" t="s">
        <v>272</v>
      </c>
      <c r="E55" t="s">
        <v>280</v>
      </c>
      <c r="F55" t="s">
        <v>2</v>
      </c>
      <c r="G55" t="s">
        <v>21</v>
      </c>
      <c r="H55" t="s">
        <v>319</v>
      </c>
      <c r="I55" t="s">
        <v>22</v>
      </c>
    </row>
    <row r="56" spans="1:19">
      <c r="A56" t="s">
        <v>139</v>
      </c>
      <c r="B56" t="s">
        <v>140</v>
      </c>
      <c r="C56" t="s">
        <v>302</v>
      </c>
      <c r="D56" t="s">
        <v>299</v>
      </c>
      <c r="E56" t="s">
        <v>283</v>
      </c>
      <c r="F56" t="s">
        <v>2</v>
      </c>
      <c r="G56" t="s">
        <v>35</v>
      </c>
      <c r="H56" t="s">
        <v>281</v>
      </c>
      <c r="I56" t="s">
        <v>36</v>
      </c>
    </row>
    <row r="57" spans="1:19">
      <c r="A57" t="s">
        <v>141</v>
      </c>
      <c r="B57" t="s">
        <v>142</v>
      </c>
      <c r="C57" t="s">
        <v>330</v>
      </c>
      <c r="D57" t="s">
        <v>272</v>
      </c>
      <c r="E57" t="s">
        <v>286</v>
      </c>
      <c r="F57" t="s">
        <v>2</v>
      </c>
      <c r="G57" t="s">
        <v>26</v>
      </c>
      <c r="H57" t="s">
        <v>280</v>
      </c>
      <c r="I57" t="s">
        <v>27</v>
      </c>
    </row>
    <row r="58" spans="1:19">
      <c r="A58" t="s">
        <v>143</v>
      </c>
      <c r="B58" t="s">
        <v>144</v>
      </c>
      <c r="C58" t="s">
        <v>322</v>
      </c>
      <c r="D58" t="s">
        <v>312</v>
      </c>
      <c r="E58" t="s">
        <v>273</v>
      </c>
      <c r="F58" t="s">
        <v>3</v>
      </c>
      <c r="G58" t="s">
        <v>26</v>
      </c>
      <c r="H58" t="s">
        <v>292</v>
      </c>
      <c r="I58" t="s">
        <v>27</v>
      </c>
    </row>
    <row r="59" spans="1:19">
      <c r="A59" t="s">
        <v>145</v>
      </c>
      <c r="B59" t="s">
        <v>146</v>
      </c>
      <c r="C59" t="s">
        <v>338</v>
      </c>
      <c r="D59" t="s">
        <v>272</v>
      </c>
      <c r="E59" t="s">
        <v>286</v>
      </c>
      <c r="F59" t="s">
        <v>3</v>
      </c>
      <c r="G59" t="s">
        <v>31</v>
      </c>
      <c r="H59" t="s">
        <v>290</v>
      </c>
      <c r="I59" t="s">
        <v>32</v>
      </c>
    </row>
    <row r="60" spans="1:19">
      <c r="A60" t="s">
        <v>147</v>
      </c>
      <c r="B60" t="s">
        <v>148</v>
      </c>
      <c r="C60" t="s">
        <v>310</v>
      </c>
      <c r="D60" t="s">
        <v>299</v>
      </c>
      <c r="E60" t="s">
        <v>286</v>
      </c>
      <c r="F60" t="s">
        <v>2</v>
      </c>
      <c r="G60" t="s">
        <v>26</v>
      </c>
      <c r="H60" t="s">
        <v>294</v>
      </c>
      <c r="I60" t="s">
        <v>27</v>
      </c>
    </row>
    <row r="61" spans="1:19">
      <c r="A61" t="s">
        <v>149</v>
      </c>
      <c r="B61" t="s">
        <v>150</v>
      </c>
      <c r="C61" t="s">
        <v>339</v>
      </c>
      <c r="D61" t="s">
        <v>285</v>
      </c>
      <c r="E61" t="s">
        <v>283</v>
      </c>
      <c r="F61" t="s">
        <v>2</v>
      </c>
      <c r="G61" t="s">
        <v>35</v>
      </c>
      <c r="H61" t="s">
        <v>274</v>
      </c>
      <c r="I61" t="s">
        <v>36</v>
      </c>
    </row>
    <row r="62" spans="1:19">
      <c r="A62" t="s">
        <v>151</v>
      </c>
      <c r="B62" t="s">
        <v>152</v>
      </c>
      <c r="C62" t="s">
        <v>323</v>
      </c>
      <c r="D62" t="s">
        <v>296</v>
      </c>
      <c r="E62" t="s">
        <v>283</v>
      </c>
      <c r="F62" t="s">
        <v>3</v>
      </c>
      <c r="G62" t="s">
        <v>21</v>
      </c>
      <c r="H62" t="s">
        <v>336</v>
      </c>
      <c r="I62" t="s">
        <v>22</v>
      </c>
    </row>
    <row r="63" spans="1:19">
      <c r="A63" t="s">
        <v>153</v>
      </c>
      <c r="B63" t="s">
        <v>154</v>
      </c>
      <c r="C63" t="s">
        <v>340</v>
      </c>
      <c r="D63" t="s">
        <v>299</v>
      </c>
      <c r="E63" t="s">
        <v>280</v>
      </c>
      <c r="F63" t="s">
        <v>2</v>
      </c>
      <c r="G63" t="s">
        <v>31</v>
      </c>
      <c r="H63" t="s">
        <v>341</v>
      </c>
      <c r="I63" t="s">
        <v>32</v>
      </c>
    </row>
    <row r="64" spans="1:19">
      <c r="A64" t="s">
        <v>155</v>
      </c>
      <c r="B64" t="s">
        <v>156</v>
      </c>
      <c r="C64" t="s">
        <v>282</v>
      </c>
      <c r="D64" t="s">
        <v>272</v>
      </c>
      <c r="E64" t="s">
        <v>283</v>
      </c>
      <c r="F64" t="s">
        <v>3</v>
      </c>
      <c r="G64" t="s">
        <v>35</v>
      </c>
      <c r="H64" t="s">
        <v>292</v>
      </c>
      <c r="I64" t="s">
        <v>36</v>
      </c>
    </row>
    <row r="65" spans="1:9">
      <c r="A65" t="s">
        <v>157</v>
      </c>
      <c r="B65" t="s">
        <v>158</v>
      </c>
      <c r="C65" t="s">
        <v>342</v>
      </c>
      <c r="D65" t="s">
        <v>272</v>
      </c>
      <c r="E65" t="s">
        <v>273</v>
      </c>
      <c r="F65" t="s">
        <v>3</v>
      </c>
      <c r="G65" t="s">
        <v>21</v>
      </c>
      <c r="H65" t="s">
        <v>287</v>
      </c>
      <c r="I65" t="s">
        <v>22</v>
      </c>
    </row>
    <row r="66" spans="1:9">
      <c r="A66" t="s">
        <v>159</v>
      </c>
      <c r="B66" t="s">
        <v>160</v>
      </c>
      <c r="C66" t="s">
        <v>333</v>
      </c>
      <c r="D66" t="s">
        <v>279</v>
      </c>
      <c r="E66" t="s">
        <v>283</v>
      </c>
      <c r="F66" t="s">
        <v>2</v>
      </c>
      <c r="G66" t="s">
        <v>21</v>
      </c>
      <c r="H66" t="s">
        <v>292</v>
      </c>
      <c r="I66" t="s">
        <v>22</v>
      </c>
    </row>
    <row r="67" spans="1:9">
      <c r="A67" t="s">
        <v>161</v>
      </c>
      <c r="B67" t="s">
        <v>162</v>
      </c>
      <c r="C67" t="s">
        <v>307</v>
      </c>
      <c r="D67" t="s">
        <v>289</v>
      </c>
      <c r="E67" t="s">
        <v>283</v>
      </c>
      <c r="F67" t="s">
        <v>2</v>
      </c>
      <c r="G67" t="s">
        <v>21</v>
      </c>
      <c r="H67" t="s">
        <v>283</v>
      </c>
      <c r="I67" t="s">
        <v>22</v>
      </c>
    </row>
    <row r="68" spans="1:9">
      <c r="A68" t="s">
        <v>163</v>
      </c>
      <c r="B68" t="s">
        <v>164</v>
      </c>
      <c r="C68" t="s">
        <v>282</v>
      </c>
      <c r="D68" t="s">
        <v>285</v>
      </c>
      <c r="E68" t="s">
        <v>280</v>
      </c>
      <c r="F68" t="s">
        <v>3</v>
      </c>
      <c r="G68" t="s">
        <v>35</v>
      </c>
      <c r="H68" t="s">
        <v>281</v>
      </c>
      <c r="I68" t="s">
        <v>36</v>
      </c>
    </row>
    <row r="69" spans="1:9">
      <c r="A69" t="s">
        <v>165</v>
      </c>
      <c r="B69" t="s">
        <v>166</v>
      </c>
      <c r="C69" t="s">
        <v>343</v>
      </c>
      <c r="D69" t="s">
        <v>312</v>
      </c>
      <c r="E69" t="s">
        <v>280</v>
      </c>
      <c r="F69" t="s">
        <v>2</v>
      </c>
      <c r="G69" t="s">
        <v>31</v>
      </c>
      <c r="H69" t="s">
        <v>281</v>
      </c>
      <c r="I69" t="s">
        <v>32</v>
      </c>
    </row>
    <row r="70" spans="1:9">
      <c r="A70" t="s">
        <v>167</v>
      </c>
      <c r="B70" t="s">
        <v>168</v>
      </c>
      <c r="C70" t="s">
        <v>344</v>
      </c>
      <c r="D70" t="s">
        <v>299</v>
      </c>
      <c r="E70" t="s">
        <v>283</v>
      </c>
      <c r="F70" t="s">
        <v>2</v>
      </c>
      <c r="G70" t="s">
        <v>31</v>
      </c>
      <c r="H70" t="s">
        <v>305</v>
      </c>
      <c r="I70" t="s">
        <v>32</v>
      </c>
    </row>
    <row r="71" spans="1:9">
      <c r="A71" t="s">
        <v>169</v>
      </c>
      <c r="B71" t="s">
        <v>170</v>
      </c>
      <c r="C71" t="s">
        <v>345</v>
      </c>
      <c r="D71" t="s">
        <v>279</v>
      </c>
      <c r="E71" t="s">
        <v>280</v>
      </c>
      <c r="F71" t="s">
        <v>2</v>
      </c>
      <c r="G71" t="s">
        <v>21</v>
      </c>
      <c r="H71" t="s">
        <v>287</v>
      </c>
      <c r="I71" t="s">
        <v>22</v>
      </c>
    </row>
    <row r="72" spans="1:9">
      <c r="A72" t="s">
        <v>171</v>
      </c>
      <c r="B72" t="s">
        <v>172</v>
      </c>
      <c r="C72" t="s">
        <v>335</v>
      </c>
      <c r="D72" t="s">
        <v>276</v>
      </c>
      <c r="E72" t="s">
        <v>273</v>
      </c>
      <c r="F72" t="s">
        <v>2</v>
      </c>
      <c r="G72" t="s">
        <v>31</v>
      </c>
      <c r="H72" t="s">
        <v>287</v>
      </c>
      <c r="I72" t="s">
        <v>32</v>
      </c>
    </row>
    <row r="73" spans="1:9">
      <c r="A73" t="s">
        <v>173</v>
      </c>
      <c r="B73" t="s">
        <v>174</v>
      </c>
      <c r="C73" t="s">
        <v>346</v>
      </c>
      <c r="D73" t="s">
        <v>276</v>
      </c>
      <c r="E73" t="s">
        <v>280</v>
      </c>
      <c r="F73" t="s">
        <v>2</v>
      </c>
      <c r="G73" t="s">
        <v>35</v>
      </c>
      <c r="H73" t="s">
        <v>290</v>
      </c>
      <c r="I73" t="s">
        <v>36</v>
      </c>
    </row>
    <row r="74" spans="1:9">
      <c r="A74" t="s">
        <v>175</v>
      </c>
      <c r="B74" t="s">
        <v>176</v>
      </c>
      <c r="C74" t="s">
        <v>347</v>
      </c>
      <c r="D74" t="s">
        <v>279</v>
      </c>
      <c r="E74" t="s">
        <v>283</v>
      </c>
      <c r="F74" t="s">
        <v>3</v>
      </c>
      <c r="G74" t="s">
        <v>35</v>
      </c>
      <c r="H74" t="s">
        <v>274</v>
      </c>
      <c r="I74" t="s">
        <v>36</v>
      </c>
    </row>
    <row r="75" spans="1:9">
      <c r="A75" t="s">
        <v>177</v>
      </c>
      <c r="B75" t="s">
        <v>178</v>
      </c>
      <c r="C75" t="s">
        <v>302</v>
      </c>
      <c r="D75" t="s">
        <v>276</v>
      </c>
      <c r="E75" t="s">
        <v>273</v>
      </c>
      <c r="F75" t="s">
        <v>2</v>
      </c>
      <c r="G75" t="s">
        <v>7</v>
      </c>
      <c r="H75" t="s">
        <v>292</v>
      </c>
      <c r="I75" t="s">
        <v>44</v>
      </c>
    </row>
    <row r="76" spans="1:9">
      <c r="A76" t="s">
        <v>179</v>
      </c>
      <c r="B76" t="s">
        <v>180</v>
      </c>
      <c r="C76" t="s">
        <v>322</v>
      </c>
      <c r="D76" t="s">
        <v>279</v>
      </c>
      <c r="E76" t="s">
        <v>283</v>
      </c>
      <c r="F76" t="s">
        <v>3</v>
      </c>
      <c r="G76" t="s">
        <v>26</v>
      </c>
      <c r="H76" t="s">
        <v>294</v>
      </c>
      <c r="I76" t="s">
        <v>27</v>
      </c>
    </row>
    <row r="77" spans="1:9">
      <c r="A77" t="s">
        <v>181</v>
      </c>
      <c r="B77" t="s">
        <v>182</v>
      </c>
      <c r="C77" t="s">
        <v>348</v>
      </c>
      <c r="D77" t="s">
        <v>289</v>
      </c>
      <c r="E77" t="s">
        <v>273</v>
      </c>
      <c r="F77" t="s">
        <v>2</v>
      </c>
      <c r="G77" t="s">
        <v>31</v>
      </c>
      <c r="H77" t="s">
        <v>287</v>
      </c>
      <c r="I77" t="s">
        <v>32</v>
      </c>
    </row>
    <row r="78" spans="1:9">
      <c r="A78" t="s">
        <v>183</v>
      </c>
      <c r="B78" t="s">
        <v>184</v>
      </c>
      <c r="C78" t="s">
        <v>349</v>
      </c>
      <c r="D78" t="s">
        <v>272</v>
      </c>
      <c r="E78" t="s">
        <v>280</v>
      </c>
      <c r="F78" t="s">
        <v>3</v>
      </c>
      <c r="G78" t="s">
        <v>31</v>
      </c>
      <c r="H78" t="s">
        <v>341</v>
      </c>
      <c r="I78" t="s">
        <v>32</v>
      </c>
    </row>
    <row r="79" spans="1:9">
      <c r="A79" t="s">
        <v>185</v>
      </c>
      <c r="B79" t="s">
        <v>186</v>
      </c>
      <c r="C79" t="s">
        <v>350</v>
      </c>
      <c r="D79" t="s">
        <v>285</v>
      </c>
      <c r="E79" t="s">
        <v>286</v>
      </c>
      <c r="F79" t="s">
        <v>3</v>
      </c>
      <c r="G79" t="s">
        <v>26</v>
      </c>
      <c r="H79" t="s">
        <v>351</v>
      </c>
      <c r="I79" t="s">
        <v>27</v>
      </c>
    </row>
    <row r="80" spans="1:9">
      <c r="A80" t="s">
        <v>187</v>
      </c>
      <c r="B80" t="s">
        <v>188</v>
      </c>
      <c r="C80" t="s">
        <v>332</v>
      </c>
      <c r="D80" t="s">
        <v>296</v>
      </c>
      <c r="E80" t="s">
        <v>286</v>
      </c>
      <c r="F80" t="s">
        <v>3</v>
      </c>
      <c r="G80" t="s">
        <v>26</v>
      </c>
      <c r="H80" t="s">
        <v>277</v>
      </c>
      <c r="I80" t="s">
        <v>27</v>
      </c>
    </row>
    <row r="81" spans="1:9">
      <c r="A81" t="s">
        <v>189</v>
      </c>
      <c r="B81" t="s">
        <v>190</v>
      </c>
      <c r="C81" t="s">
        <v>308</v>
      </c>
      <c r="D81" t="s">
        <v>276</v>
      </c>
      <c r="E81" t="s">
        <v>286</v>
      </c>
      <c r="F81" t="s">
        <v>2</v>
      </c>
      <c r="G81" t="s">
        <v>35</v>
      </c>
      <c r="H81" t="s">
        <v>301</v>
      </c>
      <c r="I81" t="s">
        <v>36</v>
      </c>
    </row>
    <row r="82" spans="1:9">
      <c r="A82" t="s">
        <v>191</v>
      </c>
      <c r="B82" t="s">
        <v>192</v>
      </c>
      <c r="C82" t="s">
        <v>338</v>
      </c>
      <c r="D82" t="s">
        <v>276</v>
      </c>
      <c r="E82" t="s">
        <v>273</v>
      </c>
      <c r="F82" t="s">
        <v>2</v>
      </c>
      <c r="G82" t="s">
        <v>35</v>
      </c>
      <c r="H82" t="s">
        <v>336</v>
      </c>
      <c r="I82" t="s">
        <v>36</v>
      </c>
    </row>
    <row r="83" spans="1:9">
      <c r="A83" t="s">
        <v>193</v>
      </c>
      <c r="B83" t="s">
        <v>194</v>
      </c>
      <c r="C83" t="s">
        <v>325</v>
      </c>
      <c r="D83" t="s">
        <v>296</v>
      </c>
      <c r="E83" t="s">
        <v>280</v>
      </c>
      <c r="F83" t="s">
        <v>2</v>
      </c>
      <c r="G83" t="s">
        <v>21</v>
      </c>
      <c r="H83" t="s">
        <v>294</v>
      </c>
      <c r="I83" t="s">
        <v>22</v>
      </c>
    </row>
    <row r="84" spans="1:9">
      <c r="A84" t="s">
        <v>195</v>
      </c>
      <c r="B84" t="s">
        <v>196</v>
      </c>
      <c r="C84" t="s">
        <v>352</v>
      </c>
      <c r="D84" t="s">
        <v>272</v>
      </c>
      <c r="E84" t="s">
        <v>286</v>
      </c>
      <c r="F84" t="s">
        <v>3</v>
      </c>
      <c r="G84" t="s">
        <v>35</v>
      </c>
      <c r="H84" t="s">
        <v>274</v>
      </c>
      <c r="I84" t="s">
        <v>36</v>
      </c>
    </row>
    <row r="85" spans="1:9">
      <c r="A85" t="s">
        <v>197</v>
      </c>
      <c r="B85" t="s">
        <v>198</v>
      </c>
      <c r="C85" t="s">
        <v>353</v>
      </c>
      <c r="D85" t="s">
        <v>272</v>
      </c>
      <c r="E85" t="s">
        <v>280</v>
      </c>
      <c r="F85" t="s">
        <v>3</v>
      </c>
      <c r="G85" t="s">
        <v>21</v>
      </c>
      <c r="H85" t="s">
        <v>283</v>
      </c>
      <c r="I85" t="s">
        <v>22</v>
      </c>
    </row>
    <row r="86" spans="1:9">
      <c r="A86" t="s">
        <v>199</v>
      </c>
      <c r="B86" t="s">
        <v>200</v>
      </c>
      <c r="C86" t="s">
        <v>278</v>
      </c>
      <c r="D86" t="s">
        <v>289</v>
      </c>
      <c r="E86" t="s">
        <v>280</v>
      </c>
      <c r="F86" t="s">
        <v>2</v>
      </c>
      <c r="G86" t="s">
        <v>35</v>
      </c>
      <c r="H86" t="s">
        <v>294</v>
      </c>
      <c r="I86" t="s">
        <v>36</v>
      </c>
    </row>
    <row r="87" spans="1:9">
      <c r="A87" t="s">
        <v>201</v>
      </c>
      <c r="B87" t="s">
        <v>202</v>
      </c>
      <c r="C87" t="s">
        <v>348</v>
      </c>
      <c r="D87" t="s">
        <v>276</v>
      </c>
      <c r="E87" t="s">
        <v>280</v>
      </c>
      <c r="F87" t="s">
        <v>3</v>
      </c>
      <c r="G87" t="s">
        <v>26</v>
      </c>
      <c r="H87" t="s">
        <v>336</v>
      </c>
      <c r="I87" t="s">
        <v>27</v>
      </c>
    </row>
    <row r="88" spans="1:9">
      <c r="A88" t="s">
        <v>203</v>
      </c>
      <c r="B88" t="s">
        <v>204</v>
      </c>
      <c r="C88" t="s">
        <v>333</v>
      </c>
      <c r="D88" t="s">
        <v>312</v>
      </c>
      <c r="E88" t="s">
        <v>286</v>
      </c>
      <c r="F88" t="s">
        <v>2</v>
      </c>
      <c r="G88" t="s">
        <v>21</v>
      </c>
      <c r="H88" t="s">
        <v>283</v>
      </c>
      <c r="I88" t="s">
        <v>22</v>
      </c>
    </row>
    <row r="89" spans="1:9">
      <c r="A89" t="s">
        <v>205</v>
      </c>
      <c r="B89" t="s">
        <v>206</v>
      </c>
      <c r="C89" t="s">
        <v>339</v>
      </c>
      <c r="D89" t="s">
        <v>285</v>
      </c>
      <c r="E89" t="s">
        <v>283</v>
      </c>
      <c r="F89" t="s">
        <v>3</v>
      </c>
      <c r="G89" t="s">
        <v>35</v>
      </c>
      <c r="H89" t="s">
        <v>290</v>
      </c>
      <c r="I89" t="s">
        <v>36</v>
      </c>
    </row>
    <row r="90" spans="1:9">
      <c r="A90" t="s">
        <v>207</v>
      </c>
      <c r="B90" t="s">
        <v>208</v>
      </c>
      <c r="C90" t="s">
        <v>278</v>
      </c>
      <c r="D90" t="s">
        <v>272</v>
      </c>
      <c r="E90" t="s">
        <v>280</v>
      </c>
      <c r="F90" t="s">
        <v>2</v>
      </c>
      <c r="G90" t="s">
        <v>31</v>
      </c>
      <c r="H90" t="s">
        <v>277</v>
      </c>
      <c r="I90" t="s">
        <v>32</v>
      </c>
    </row>
    <row r="91" spans="1:9">
      <c r="A91" t="s">
        <v>209</v>
      </c>
      <c r="B91" t="s">
        <v>210</v>
      </c>
      <c r="C91" t="s">
        <v>354</v>
      </c>
      <c r="D91" t="s">
        <v>289</v>
      </c>
      <c r="E91" t="s">
        <v>273</v>
      </c>
      <c r="F91" t="s">
        <v>2</v>
      </c>
      <c r="G91" t="s">
        <v>35</v>
      </c>
      <c r="H91" t="s">
        <v>283</v>
      </c>
      <c r="I91" t="s">
        <v>36</v>
      </c>
    </row>
    <row r="92" spans="1:9">
      <c r="A92" t="s">
        <v>211</v>
      </c>
      <c r="B92" t="s">
        <v>212</v>
      </c>
      <c r="C92" t="s">
        <v>355</v>
      </c>
      <c r="D92" t="s">
        <v>285</v>
      </c>
      <c r="E92" t="s">
        <v>286</v>
      </c>
      <c r="F92" t="s">
        <v>3</v>
      </c>
      <c r="G92" t="s">
        <v>21</v>
      </c>
      <c r="H92" t="s">
        <v>281</v>
      </c>
      <c r="I92" t="s">
        <v>22</v>
      </c>
    </row>
    <row r="93" spans="1:9">
      <c r="A93" t="s">
        <v>213</v>
      </c>
      <c r="B93" t="s">
        <v>214</v>
      </c>
      <c r="C93" t="s">
        <v>324</v>
      </c>
      <c r="D93" t="s">
        <v>279</v>
      </c>
      <c r="E93" t="s">
        <v>273</v>
      </c>
      <c r="F93" t="s">
        <v>3</v>
      </c>
      <c r="G93" t="s">
        <v>35</v>
      </c>
      <c r="H93" t="s">
        <v>281</v>
      </c>
      <c r="I93" t="s">
        <v>36</v>
      </c>
    </row>
    <row r="94" spans="1:9">
      <c r="A94" t="s">
        <v>215</v>
      </c>
      <c r="B94" t="s">
        <v>216</v>
      </c>
      <c r="C94" t="s">
        <v>302</v>
      </c>
      <c r="D94" t="s">
        <v>289</v>
      </c>
      <c r="E94" t="s">
        <v>283</v>
      </c>
      <c r="F94" t="s">
        <v>2</v>
      </c>
      <c r="G94" t="s">
        <v>31</v>
      </c>
      <c r="H94" t="s">
        <v>281</v>
      </c>
      <c r="I94" t="s">
        <v>32</v>
      </c>
    </row>
    <row r="95" spans="1:9">
      <c r="A95" t="s">
        <v>217</v>
      </c>
      <c r="B95" t="s">
        <v>218</v>
      </c>
      <c r="C95" t="s">
        <v>282</v>
      </c>
      <c r="D95" t="s">
        <v>299</v>
      </c>
      <c r="E95" t="s">
        <v>280</v>
      </c>
      <c r="F95" t="s">
        <v>3</v>
      </c>
      <c r="G95" t="s">
        <v>26</v>
      </c>
      <c r="H95" t="s">
        <v>283</v>
      </c>
      <c r="I95" t="s">
        <v>27</v>
      </c>
    </row>
    <row r="96" spans="1:9">
      <c r="A96" t="s">
        <v>219</v>
      </c>
      <c r="B96" t="s">
        <v>220</v>
      </c>
      <c r="C96" t="s">
        <v>356</v>
      </c>
      <c r="D96" t="s">
        <v>289</v>
      </c>
      <c r="E96" t="s">
        <v>286</v>
      </c>
      <c r="F96" t="s">
        <v>2</v>
      </c>
      <c r="G96" t="s">
        <v>26</v>
      </c>
      <c r="H96" t="s">
        <v>274</v>
      </c>
      <c r="I96" t="s">
        <v>27</v>
      </c>
    </row>
    <row r="97" spans="1:9">
      <c r="A97" t="s">
        <v>221</v>
      </c>
      <c r="B97" t="s">
        <v>222</v>
      </c>
      <c r="C97" t="s">
        <v>323</v>
      </c>
      <c r="D97" t="s">
        <v>285</v>
      </c>
      <c r="E97" t="s">
        <v>280</v>
      </c>
      <c r="F97" t="s">
        <v>2</v>
      </c>
      <c r="G97" t="s">
        <v>26</v>
      </c>
      <c r="H97" t="s">
        <v>334</v>
      </c>
      <c r="I97" t="s">
        <v>27</v>
      </c>
    </row>
    <row r="98" spans="1:9">
      <c r="A98" t="s">
        <v>223</v>
      </c>
      <c r="B98" t="s">
        <v>224</v>
      </c>
      <c r="C98" t="s">
        <v>288</v>
      </c>
      <c r="D98" t="s">
        <v>276</v>
      </c>
      <c r="E98" t="s">
        <v>283</v>
      </c>
      <c r="F98" t="s">
        <v>2</v>
      </c>
      <c r="G98" t="s">
        <v>35</v>
      </c>
      <c r="H98" t="s">
        <v>297</v>
      </c>
      <c r="I98" t="s">
        <v>36</v>
      </c>
    </row>
    <row r="99" spans="1:9">
      <c r="A99" t="s">
        <v>225</v>
      </c>
      <c r="B99" t="s">
        <v>226</v>
      </c>
      <c r="C99" t="s">
        <v>295</v>
      </c>
      <c r="D99" t="s">
        <v>285</v>
      </c>
      <c r="E99" t="s">
        <v>280</v>
      </c>
      <c r="F99" t="s">
        <v>2</v>
      </c>
      <c r="G99" t="s">
        <v>21</v>
      </c>
      <c r="H99" t="s">
        <v>281</v>
      </c>
      <c r="I99" t="s">
        <v>22</v>
      </c>
    </row>
    <row r="100" spans="1:9">
      <c r="A100" t="s">
        <v>227</v>
      </c>
      <c r="B100" t="s">
        <v>228</v>
      </c>
      <c r="C100" t="s">
        <v>293</v>
      </c>
      <c r="D100" t="s">
        <v>289</v>
      </c>
      <c r="E100" t="s">
        <v>286</v>
      </c>
      <c r="F100" t="s">
        <v>2</v>
      </c>
      <c r="G100" t="s">
        <v>21</v>
      </c>
      <c r="H100" t="s">
        <v>281</v>
      </c>
      <c r="I100" t="s">
        <v>22</v>
      </c>
    </row>
    <row r="101" spans="1:9">
      <c r="A101" t="s">
        <v>229</v>
      </c>
      <c r="B101" t="s">
        <v>230</v>
      </c>
      <c r="C101" t="s">
        <v>357</v>
      </c>
      <c r="D101" t="s">
        <v>279</v>
      </c>
      <c r="E101" t="s">
        <v>280</v>
      </c>
      <c r="F101" t="s">
        <v>2</v>
      </c>
      <c r="G101" t="s">
        <v>26</v>
      </c>
      <c r="H101" t="s">
        <v>292</v>
      </c>
      <c r="I101" t="s">
        <v>27</v>
      </c>
    </row>
    <row r="102" spans="1:9">
      <c r="A102" t="s">
        <v>231</v>
      </c>
      <c r="B102" t="s">
        <v>232</v>
      </c>
      <c r="C102" t="s">
        <v>340</v>
      </c>
      <c r="D102" t="s">
        <v>289</v>
      </c>
      <c r="E102" t="s">
        <v>283</v>
      </c>
      <c r="F102" t="s">
        <v>2</v>
      </c>
      <c r="G102" t="s">
        <v>7</v>
      </c>
      <c r="H102" t="s">
        <v>292</v>
      </c>
      <c r="I102" t="s">
        <v>44</v>
      </c>
    </row>
    <row r="103" spans="1:9">
      <c r="A103" t="s">
        <v>233</v>
      </c>
      <c r="B103" t="s">
        <v>234</v>
      </c>
      <c r="C103" t="s">
        <v>338</v>
      </c>
      <c r="D103" t="s">
        <v>289</v>
      </c>
      <c r="E103" t="s">
        <v>273</v>
      </c>
      <c r="F103" t="s">
        <v>3</v>
      </c>
      <c r="G103" t="s">
        <v>35</v>
      </c>
      <c r="H103" t="s">
        <v>281</v>
      </c>
      <c r="I103" t="s">
        <v>36</v>
      </c>
    </row>
    <row r="104" spans="1:9">
      <c r="A104" t="s">
        <v>235</v>
      </c>
      <c r="B104" t="s">
        <v>236</v>
      </c>
      <c r="C104" t="s">
        <v>288</v>
      </c>
      <c r="D104" t="s">
        <v>312</v>
      </c>
      <c r="E104" t="s">
        <v>286</v>
      </c>
      <c r="F104" t="s">
        <v>3</v>
      </c>
      <c r="G104" t="s">
        <v>35</v>
      </c>
      <c r="H104" t="s">
        <v>319</v>
      </c>
      <c r="I104" t="s">
        <v>36</v>
      </c>
    </row>
    <row r="105" spans="1:9">
      <c r="A105" t="s">
        <v>237</v>
      </c>
      <c r="B105" t="s">
        <v>238</v>
      </c>
      <c r="C105" t="s">
        <v>288</v>
      </c>
      <c r="D105" t="s">
        <v>289</v>
      </c>
      <c r="E105" t="s">
        <v>273</v>
      </c>
      <c r="F105" t="s">
        <v>2</v>
      </c>
      <c r="G105" t="s">
        <v>21</v>
      </c>
      <c r="H105" t="s">
        <v>290</v>
      </c>
      <c r="I105" t="s">
        <v>22</v>
      </c>
    </row>
    <row r="106" spans="1:9">
      <c r="A106" t="s">
        <v>239</v>
      </c>
      <c r="B106" t="s">
        <v>240</v>
      </c>
      <c r="C106" t="s">
        <v>339</v>
      </c>
      <c r="D106" t="s">
        <v>272</v>
      </c>
      <c r="E106" t="s">
        <v>273</v>
      </c>
      <c r="F106" t="s">
        <v>2</v>
      </c>
      <c r="G106" t="s">
        <v>26</v>
      </c>
      <c r="H106" t="s">
        <v>280</v>
      </c>
      <c r="I106" t="s">
        <v>27</v>
      </c>
    </row>
    <row r="107" spans="1:9">
      <c r="A107" t="s">
        <v>241</v>
      </c>
      <c r="B107" t="s">
        <v>242</v>
      </c>
      <c r="C107" t="s">
        <v>335</v>
      </c>
      <c r="D107" t="s">
        <v>276</v>
      </c>
      <c r="E107" t="s">
        <v>286</v>
      </c>
      <c r="F107" t="s">
        <v>3</v>
      </c>
      <c r="G107" t="s">
        <v>35</v>
      </c>
      <c r="H107" t="s">
        <v>297</v>
      </c>
      <c r="I107" t="s">
        <v>36</v>
      </c>
    </row>
    <row r="108" spans="1:9">
      <c r="A108" t="s">
        <v>243</v>
      </c>
      <c r="B108" t="s">
        <v>244</v>
      </c>
      <c r="C108" t="s">
        <v>357</v>
      </c>
      <c r="D108" t="s">
        <v>289</v>
      </c>
      <c r="E108" t="s">
        <v>273</v>
      </c>
      <c r="F108" t="s">
        <v>3</v>
      </c>
      <c r="G108" t="s">
        <v>26</v>
      </c>
      <c r="H108" t="s">
        <v>301</v>
      </c>
      <c r="I108" t="s">
        <v>27</v>
      </c>
    </row>
    <row r="109" spans="1:9">
      <c r="A109" t="s">
        <v>245</v>
      </c>
      <c r="B109" t="s">
        <v>246</v>
      </c>
      <c r="C109" t="s">
        <v>358</v>
      </c>
      <c r="D109" t="s">
        <v>272</v>
      </c>
      <c r="E109" t="s">
        <v>283</v>
      </c>
      <c r="F109" t="s">
        <v>2</v>
      </c>
      <c r="G109" t="s">
        <v>35</v>
      </c>
      <c r="H109" t="s">
        <v>297</v>
      </c>
      <c r="I109" t="s">
        <v>36</v>
      </c>
    </row>
    <row r="110" spans="1:9">
      <c r="A110" t="s">
        <v>247</v>
      </c>
      <c r="B110" t="s">
        <v>248</v>
      </c>
      <c r="C110" t="s">
        <v>355</v>
      </c>
      <c r="D110" t="s">
        <v>272</v>
      </c>
      <c r="E110" t="s">
        <v>273</v>
      </c>
      <c r="F110" t="s">
        <v>2</v>
      </c>
      <c r="G110" t="s">
        <v>21</v>
      </c>
      <c r="H110" t="s">
        <v>283</v>
      </c>
      <c r="I110" t="s">
        <v>22</v>
      </c>
    </row>
    <row r="111" spans="1:9">
      <c r="A111" t="s">
        <v>249</v>
      </c>
      <c r="B111" t="s">
        <v>250</v>
      </c>
      <c r="C111" t="s">
        <v>359</v>
      </c>
      <c r="D111" t="s">
        <v>276</v>
      </c>
      <c r="E111" t="s">
        <v>283</v>
      </c>
      <c r="F111" t="s">
        <v>3</v>
      </c>
      <c r="G111" t="s">
        <v>21</v>
      </c>
      <c r="H111" t="s">
        <v>290</v>
      </c>
      <c r="I111" t="s">
        <v>22</v>
      </c>
    </row>
    <row r="112" spans="1:9">
      <c r="A112" t="s">
        <v>251</v>
      </c>
      <c r="B112" t="s">
        <v>252</v>
      </c>
      <c r="C112" t="s">
        <v>326</v>
      </c>
      <c r="D112" t="s">
        <v>272</v>
      </c>
      <c r="E112" t="s">
        <v>283</v>
      </c>
      <c r="F112" t="s">
        <v>3</v>
      </c>
      <c r="G112" t="s">
        <v>21</v>
      </c>
      <c r="H112" t="s">
        <v>294</v>
      </c>
      <c r="I112" t="s">
        <v>22</v>
      </c>
    </row>
    <row r="113" spans="1:9">
      <c r="A113" t="s">
        <v>253</v>
      </c>
      <c r="B113" t="s">
        <v>254</v>
      </c>
      <c r="C113" t="s">
        <v>295</v>
      </c>
      <c r="D113" t="s">
        <v>276</v>
      </c>
      <c r="E113" t="s">
        <v>286</v>
      </c>
      <c r="F113" t="s">
        <v>3</v>
      </c>
      <c r="G113" t="s">
        <v>35</v>
      </c>
      <c r="H113" t="s">
        <v>274</v>
      </c>
      <c r="I113" t="s">
        <v>36</v>
      </c>
    </row>
    <row r="114" spans="1:9">
      <c r="A114" t="s">
        <v>255</v>
      </c>
      <c r="B114" t="s">
        <v>256</v>
      </c>
      <c r="C114" t="s">
        <v>345</v>
      </c>
      <c r="D114" t="s">
        <v>279</v>
      </c>
      <c r="E114" t="s">
        <v>280</v>
      </c>
      <c r="F114" t="s">
        <v>3</v>
      </c>
      <c r="G114" t="s">
        <v>35</v>
      </c>
      <c r="H114" t="s">
        <v>297</v>
      </c>
      <c r="I114" t="s">
        <v>36</v>
      </c>
    </row>
    <row r="115" spans="1:9">
      <c r="A115" t="s">
        <v>257</v>
      </c>
      <c r="B115" t="s">
        <v>258</v>
      </c>
      <c r="C115" t="s">
        <v>360</v>
      </c>
      <c r="D115" t="s">
        <v>289</v>
      </c>
      <c r="E115" t="s">
        <v>283</v>
      </c>
      <c r="F115" t="s">
        <v>2</v>
      </c>
      <c r="G115" t="s">
        <v>31</v>
      </c>
      <c r="H115" t="s">
        <v>334</v>
      </c>
      <c r="I115" t="s">
        <v>32</v>
      </c>
    </row>
    <row r="116" spans="1:9">
      <c r="A116" t="s">
        <v>259</v>
      </c>
      <c r="B116" t="s">
        <v>260</v>
      </c>
      <c r="C116" t="s">
        <v>361</v>
      </c>
      <c r="D116" t="s">
        <v>312</v>
      </c>
      <c r="E116" t="s">
        <v>273</v>
      </c>
      <c r="F116" t="s">
        <v>3</v>
      </c>
      <c r="G116" t="s">
        <v>21</v>
      </c>
      <c r="H116" t="s">
        <v>294</v>
      </c>
      <c r="I116" t="s">
        <v>22</v>
      </c>
    </row>
    <row r="117" spans="1:9">
      <c r="A117" t="s">
        <v>261</v>
      </c>
      <c r="B117" t="s">
        <v>262</v>
      </c>
      <c r="C117" t="s">
        <v>355</v>
      </c>
      <c r="D117" t="s">
        <v>276</v>
      </c>
      <c r="E117" t="s">
        <v>283</v>
      </c>
      <c r="F117" t="s">
        <v>2</v>
      </c>
      <c r="G117" t="s">
        <v>35</v>
      </c>
      <c r="H117" t="s">
        <v>336</v>
      </c>
      <c r="I117" t="s">
        <v>36</v>
      </c>
    </row>
    <row r="118" spans="1:9">
      <c r="A118" t="s">
        <v>263</v>
      </c>
      <c r="B118" t="s">
        <v>264</v>
      </c>
      <c r="C118" t="s">
        <v>318</v>
      </c>
      <c r="D118" t="s">
        <v>276</v>
      </c>
      <c r="E118" t="s">
        <v>273</v>
      </c>
      <c r="F118" t="s">
        <v>3</v>
      </c>
      <c r="G118" t="s">
        <v>26</v>
      </c>
      <c r="H118" t="s">
        <v>336</v>
      </c>
      <c r="I118" t="s">
        <v>27</v>
      </c>
    </row>
    <row r="119" spans="1:9">
      <c r="A119" t="s">
        <v>265</v>
      </c>
      <c r="B119" t="s">
        <v>266</v>
      </c>
      <c r="C119" t="s">
        <v>340</v>
      </c>
      <c r="D119" t="s">
        <v>272</v>
      </c>
      <c r="E119" t="s">
        <v>286</v>
      </c>
      <c r="F119" t="s">
        <v>2</v>
      </c>
      <c r="G119" t="s">
        <v>26</v>
      </c>
      <c r="H119" t="s">
        <v>301</v>
      </c>
      <c r="I119" t="s">
        <v>27</v>
      </c>
    </row>
    <row r="120" spans="1:9">
      <c r="A120" t="s">
        <v>267</v>
      </c>
      <c r="B120" t="s">
        <v>268</v>
      </c>
      <c r="C120" t="s">
        <v>345</v>
      </c>
      <c r="D120" t="s">
        <v>279</v>
      </c>
      <c r="E120" t="s">
        <v>280</v>
      </c>
      <c r="F120" t="s">
        <v>3</v>
      </c>
      <c r="G120" t="s">
        <v>31</v>
      </c>
      <c r="H120" t="s">
        <v>321</v>
      </c>
      <c r="I120" t="s">
        <v>32</v>
      </c>
    </row>
    <row r="121" spans="1:9">
      <c r="A121" t="s">
        <v>269</v>
      </c>
      <c r="B121" t="s">
        <v>270</v>
      </c>
      <c r="C121" t="s">
        <v>271</v>
      </c>
      <c r="D121" t="s">
        <v>272</v>
      </c>
      <c r="E121" t="s">
        <v>280</v>
      </c>
      <c r="F121" t="s">
        <v>2</v>
      </c>
      <c r="G121" t="s">
        <v>35</v>
      </c>
      <c r="H121" t="s">
        <v>336</v>
      </c>
      <c r="I121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"/>
  <sheetViews>
    <sheetView showGridLines="0" workbookViewId="0">
      <selection activeCell="H37" sqref="H37"/>
    </sheetView>
  </sheetViews>
  <sheetFormatPr defaultRowHeight="13.8"/>
  <cols>
    <col min="1" max="1" width="39" customWidth="1"/>
    <col min="2" max="2" width="27" customWidth="1"/>
    <col min="3" max="19" width="10" customWidth="1"/>
  </cols>
  <sheetData>
    <row r="1" spans="1:19" ht="22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.0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36" customHeight="1">
      <c r="A3" s="8" t="s">
        <v>0</v>
      </c>
      <c r="B3" s="8" t="s">
        <v>362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4" customHeight="1">
      <c r="A4" s="11">
        <v>12</v>
      </c>
      <c r="B4" s="5">
        <v>114500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4" customHeight="1">
      <c r="A5" s="11">
        <v>18</v>
      </c>
      <c r="B5" s="5">
        <v>150000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4" customHeight="1">
      <c r="A6" s="11">
        <v>24</v>
      </c>
      <c r="B6" s="5">
        <v>118500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4" customHeight="1">
      <c r="A7" s="11">
        <v>36</v>
      </c>
      <c r="B7" s="5">
        <v>112500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2.05" customHeight="1">
      <c r="A8" s="7" t="s">
        <v>4</v>
      </c>
      <c r="B8" s="12">
        <v>495500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2.0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2.0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2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2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36" customHeight="1">
      <c r="A13" s="8" t="s">
        <v>0</v>
      </c>
      <c r="B13" s="8" t="s">
        <v>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4" customHeight="1">
      <c r="A14" s="11">
        <v>18</v>
      </c>
      <c r="B14" s="9">
        <v>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4" customHeight="1">
      <c r="A15" s="11">
        <v>24</v>
      </c>
      <c r="B15" s="9">
        <v>30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4" customHeight="1">
      <c r="A16" s="11">
        <v>36</v>
      </c>
      <c r="B16" s="9">
        <v>29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4" customHeight="1">
      <c r="A17" s="11">
        <v>12</v>
      </c>
      <c r="B17" s="9">
        <v>26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2.05" customHeight="1">
      <c r="A18" s="7" t="s">
        <v>4</v>
      </c>
      <c r="B18" s="10">
        <v>120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2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6" spans="1:19" ht="22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2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2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2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2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2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2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2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2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2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2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2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2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2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2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2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2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2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2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2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2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2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2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2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2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0"/>
  <sheetViews>
    <sheetView showGridLines="0" topLeftCell="A11" workbookViewId="0">
      <selection activeCell="A13" sqref="A13:XFD19"/>
    </sheetView>
  </sheetViews>
  <sheetFormatPr defaultRowHeight="13.8"/>
  <cols>
    <col min="1" max="1" width="39" customWidth="1"/>
    <col min="2" max="2" width="27" customWidth="1"/>
    <col min="3" max="19" width="10" customWidth="1"/>
  </cols>
  <sheetData>
    <row r="1" spans="1:19" ht="22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.0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36" customHeight="1">
      <c r="A3" s="8" t="s">
        <v>0</v>
      </c>
      <c r="B3" s="8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4" customHeight="1">
      <c r="A4" s="11" t="s">
        <v>35</v>
      </c>
      <c r="B4" s="9">
        <v>42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4" customHeight="1">
      <c r="A5" s="11" t="s">
        <v>21</v>
      </c>
      <c r="B5" s="9">
        <v>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4" customHeight="1">
      <c r="A6" s="11" t="s">
        <v>26</v>
      </c>
      <c r="B6" s="9">
        <v>26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4" customHeight="1">
      <c r="A7" s="11" t="s">
        <v>31</v>
      </c>
      <c r="B7" s="9">
        <v>17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4" customHeight="1">
      <c r="A8" s="11" t="s">
        <v>7</v>
      </c>
      <c r="B8" s="9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2.05" customHeight="1">
      <c r="A9" s="7" t="s">
        <v>4</v>
      </c>
      <c r="B9" s="10">
        <v>120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2.0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2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2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36" customHeight="1">
      <c r="A13" s="8" t="s">
        <v>0</v>
      </c>
      <c r="B13" s="8" t="s">
        <v>362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4" customHeight="1">
      <c r="A14" s="11" t="s">
        <v>35</v>
      </c>
      <c r="B14" s="5">
        <v>176500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4" customHeight="1">
      <c r="A15" s="11" t="s">
        <v>21</v>
      </c>
      <c r="B15" s="5">
        <v>125500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4" customHeight="1">
      <c r="A16" s="11" t="s">
        <v>31</v>
      </c>
      <c r="B16" s="5">
        <v>61500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4" customHeight="1">
      <c r="A17" s="11" t="s">
        <v>26</v>
      </c>
      <c r="B17" s="5">
        <v>114000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4" customHeight="1">
      <c r="A18" s="11" t="s">
        <v>7</v>
      </c>
      <c r="B18" s="5">
        <v>18000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2.05" customHeight="1">
      <c r="A19" s="7" t="s">
        <v>4</v>
      </c>
      <c r="B19" s="12">
        <v>495500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7" spans="1:19" ht="22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2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2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2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2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2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2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2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2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2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2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2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2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2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2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2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2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2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2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2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2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2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2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2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0"/>
  <sheetViews>
    <sheetView showGridLines="0" topLeftCell="A7" workbookViewId="0">
      <selection activeCell="L8" sqref="L8"/>
    </sheetView>
  </sheetViews>
  <sheetFormatPr defaultRowHeight="13.8"/>
  <cols>
    <col min="1" max="1" width="39" customWidth="1"/>
    <col min="2" max="2" width="27" customWidth="1"/>
    <col min="3" max="19" width="10" customWidth="1"/>
  </cols>
  <sheetData>
    <row r="1" spans="1:19" ht="22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.0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36" customHeight="1">
      <c r="A3" s="8" t="s">
        <v>0</v>
      </c>
      <c r="B3" s="8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31.95" customHeight="1">
      <c r="A4" s="11" t="s">
        <v>36</v>
      </c>
      <c r="B4" s="9">
        <v>42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31.95" customHeight="1">
      <c r="A5" s="11" t="s">
        <v>22</v>
      </c>
      <c r="B5" s="9">
        <v>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31.95" customHeight="1">
      <c r="A6" s="11" t="s">
        <v>27</v>
      </c>
      <c r="B6" s="9">
        <v>26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31.95" customHeight="1">
      <c r="A7" s="11" t="s">
        <v>32</v>
      </c>
      <c r="B7" s="9">
        <v>17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31.95" customHeight="1">
      <c r="A8" s="11" t="s">
        <v>44</v>
      </c>
      <c r="B8" s="9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2.05" customHeight="1">
      <c r="A9" s="7" t="s">
        <v>4</v>
      </c>
      <c r="B9" s="10">
        <v>120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2.0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2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2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36" customHeight="1">
      <c r="A13" s="8" t="s">
        <v>0</v>
      </c>
      <c r="B13" s="8" t="s">
        <v>362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1.95" customHeight="1">
      <c r="A14" s="11" t="s">
        <v>3</v>
      </c>
      <c r="B14" s="5">
        <v>231500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31.95" customHeight="1">
      <c r="A15" s="11" t="s">
        <v>2</v>
      </c>
      <c r="B15" s="5">
        <v>264000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2.05" customHeight="1">
      <c r="A16" s="7" t="s">
        <v>4</v>
      </c>
      <c r="B16" s="12">
        <v>495500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2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2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2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4" spans="1:19" ht="22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2.0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2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2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2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2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2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2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2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2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2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2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2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2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2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2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2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2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2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2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2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2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2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2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2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2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2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0"/>
  <sheetViews>
    <sheetView showGridLines="0" workbookViewId="0"/>
  </sheetViews>
  <sheetFormatPr defaultRowHeight="13.8"/>
  <cols>
    <col min="1" max="1" width="39" customWidth="1"/>
    <col min="2" max="2" width="27" customWidth="1"/>
    <col min="3" max="19" width="10" customWidth="1"/>
  </cols>
  <sheetData>
    <row r="1" spans="1:19" ht="22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.0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36" customHeight="1">
      <c r="A3" s="8" t="s">
        <v>0</v>
      </c>
      <c r="B3" s="8" t="s">
        <v>362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4" customHeight="1">
      <c r="A4" s="11" t="s">
        <v>41</v>
      </c>
      <c r="B4" s="5">
        <v>137500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4" customHeight="1">
      <c r="A5" s="11" t="s">
        <v>23</v>
      </c>
      <c r="B5" s="5">
        <v>175000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4" customHeight="1">
      <c r="A6" s="11" t="s">
        <v>28</v>
      </c>
      <c r="B6" s="5">
        <v>183000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2.05" customHeight="1">
      <c r="A7" s="7" t="s">
        <v>4</v>
      </c>
      <c r="B7" s="12">
        <v>495500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2.0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2.0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2.0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2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2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2.0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2.0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2.0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2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2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2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2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2.0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2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2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2.0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2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2.0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2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2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2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2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2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2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2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2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2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2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2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2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2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2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2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2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2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2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2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2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2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2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2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2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2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0"/>
  <sheetViews>
    <sheetView showGridLines="0" topLeftCell="A4" workbookViewId="0">
      <selection activeCell="A13" sqref="A13:A14"/>
      <pivotSelection pane="bottomRight" showHeader="1" axis="axisRow" activeRow="12" previousRow="12" click="1" r:id="rId2">
        <pivotArea dataOnly="0" labelOnly="1" fieldPosition="0">
          <references count="1">
            <reference field="5" count="0"/>
          </references>
        </pivotArea>
      </pivotSelection>
    </sheetView>
  </sheetViews>
  <sheetFormatPr defaultRowHeight="13.8"/>
  <cols>
    <col min="1" max="1" width="39" customWidth="1"/>
    <col min="2" max="2" width="27" customWidth="1"/>
    <col min="3" max="19" width="10" customWidth="1"/>
  </cols>
  <sheetData>
    <row r="1" spans="1:19" ht="22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.0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36" customHeight="1">
      <c r="A3" s="8" t="s">
        <v>0</v>
      </c>
      <c r="B3" s="8" t="s">
        <v>363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4" customHeight="1">
      <c r="A4" s="11" t="s">
        <v>35</v>
      </c>
      <c r="B4" s="13">
        <v>6.5714285714285712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4" customHeight="1">
      <c r="A5" s="11" t="s">
        <v>21</v>
      </c>
      <c r="B5" s="13">
        <v>7.4516129032258061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4" customHeight="1">
      <c r="A6" s="11" t="s">
        <v>31</v>
      </c>
      <c r="B6" s="13">
        <v>10.470588235294118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4" customHeight="1">
      <c r="A7" s="11" t="s">
        <v>26</v>
      </c>
      <c r="B7" s="13">
        <v>8.4615384615384617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4" customHeight="1">
      <c r="A8" s="11" t="s">
        <v>7</v>
      </c>
      <c r="B8" s="13">
        <v>1.25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2.05" customHeight="1">
      <c r="A9" s="7" t="s">
        <v>4</v>
      </c>
      <c r="B9" s="14">
        <v>7.583333333333333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2.0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2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2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36" customHeight="1">
      <c r="A13" s="8" t="s">
        <v>0</v>
      </c>
      <c r="B13" s="8" t="s">
        <v>363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4" customHeight="1">
      <c r="A14" s="11" t="s">
        <v>3</v>
      </c>
      <c r="B14" s="13">
        <v>7.625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4" customHeight="1">
      <c r="A15" s="11" t="s">
        <v>2</v>
      </c>
      <c r="B15" s="13">
        <v>7.546875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2.05" customHeight="1">
      <c r="A16" s="7" t="s">
        <v>4</v>
      </c>
      <c r="B16" s="14">
        <v>7.583333333333333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2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2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2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4" spans="1:19" ht="22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2.0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2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2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2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2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2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2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2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2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2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2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2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2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2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2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2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2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2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2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2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2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2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2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2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2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2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0"/>
  <sheetViews>
    <sheetView showGridLines="0" tabSelected="1" topLeftCell="A6" zoomScale="90" zoomScaleNormal="90" workbookViewId="0">
      <selection activeCell="L33" sqref="L33"/>
    </sheetView>
  </sheetViews>
  <sheetFormatPr defaultRowHeight="13.8"/>
  <cols>
    <col min="1" max="19" width="11" customWidth="1"/>
  </cols>
  <sheetData>
    <row r="1" spans="1:19" ht="22.95" customHeight="1">
      <c r="A1" s="1"/>
      <c r="B1" s="15" t="s">
        <v>364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"/>
    </row>
    <row r="2" spans="1:19" ht="22.95" customHeight="1">
      <c r="A2" s="1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"/>
    </row>
    <row r="3" spans="1:19" ht="22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2.95" customHeight="1">
      <c r="A4" s="1"/>
      <c r="B4" s="16" t="s">
        <v>365</v>
      </c>
      <c r="C4" s="16" t="s">
        <v>365</v>
      </c>
      <c r="D4" s="16" t="s">
        <v>365</v>
      </c>
      <c r="E4" s="16" t="s">
        <v>365</v>
      </c>
      <c r="F4" s="16" t="s">
        <v>366</v>
      </c>
      <c r="G4" s="16" t="s">
        <v>366</v>
      </c>
      <c r="H4" s="16" t="s">
        <v>366</v>
      </c>
      <c r="I4" s="16" t="s">
        <v>366</v>
      </c>
      <c r="J4" s="16" t="s">
        <v>367</v>
      </c>
      <c r="K4" s="16" t="s">
        <v>367</v>
      </c>
      <c r="L4" s="16" t="s">
        <v>367</v>
      </c>
      <c r="M4" s="16" t="s">
        <v>367</v>
      </c>
      <c r="N4" s="16" t="s">
        <v>368</v>
      </c>
      <c r="O4" s="16" t="s">
        <v>368</v>
      </c>
      <c r="P4" s="16" t="s">
        <v>368</v>
      </c>
      <c r="Q4" s="16" t="s">
        <v>368</v>
      </c>
      <c r="R4" s="16" t="s">
        <v>368</v>
      </c>
      <c r="S4" s="1"/>
    </row>
    <row r="5" spans="1:19" ht="22.95" customHeight="1">
      <c r="A5" s="1"/>
      <c r="B5" s="17">
        <f>COUNTA(LoanApplications_Clean!A2:A121)</f>
        <v>120</v>
      </c>
      <c r="C5" s="17"/>
      <c r="D5" s="17"/>
      <c r="E5" s="17"/>
      <c r="F5" s="17">
        <f>COUNTIF(LoanApplications_Clean!G2:G121,"Approved")</f>
        <v>42</v>
      </c>
      <c r="G5" s="17"/>
      <c r="H5" s="17"/>
      <c r="I5" s="17"/>
      <c r="J5" s="18">
        <f>F5/B5</f>
        <v>0.35</v>
      </c>
      <c r="K5" s="18"/>
      <c r="L5" s="18"/>
      <c r="M5" s="18"/>
      <c r="N5" s="17">
        <f>SUM(LoanApplications_Clean!D2:D121)</f>
        <v>495500</v>
      </c>
      <c r="O5" s="17"/>
      <c r="P5" s="17"/>
      <c r="Q5" s="17"/>
      <c r="R5" s="17"/>
      <c r="S5" s="1"/>
    </row>
    <row r="6" spans="1:19" ht="22.95" customHeight="1">
      <c r="A6" s="1"/>
      <c r="B6" s="17"/>
      <c r="C6" s="17"/>
      <c r="D6" s="17"/>
      <c r="E6" s="17"/>
      <c r="F6" s="17"/>
      <c r="G6" s="17"/>
      <c r="H6" s="17"/>
      <c r="I6" s="17"/>
      <c r="J6" s="18"/>
      <c r="K6" s="18"/>
      <c r="L6" s="18"/>
      <c r="M6" s="18"/>
      <c r="N6" s="17"/>
      <c r="O6" s="17"/>
      <c r="P6" s="17"/>
      <c r="Q6" s="17"/>
      <c r="R6" s="17"/>
      <c r="S6" s="1"/>
    </row>
    <row r="7" spans="1:19" ht="22.9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2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2.9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2.9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2.9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2.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2.9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2.9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2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2.9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2.9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2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2.9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2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2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2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2.9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2.9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2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2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2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2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2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2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2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2.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2.9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2.9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2.9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2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2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2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2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2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2.9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2.9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2.9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2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2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2.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2.9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2.9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2.9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</sheetData>
  <mergeCells count="9">
    <mergeCell ref="B1:R2"/>
    <mergeCell ref="B4:E4"/>
    <mergeCell ref="B5:E6"/>
    <mergeCell ref="F4:I4"/>
    <mergeCell ref="F5:I6"/>
    <mergeCell ref="J4:M4"/>
    <mergeCell ref="J5:M6"/>
    <mergeCell ref="N4:R4"/>
    <mergeCell ref="N5:R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0"/>
  <sheetViews>
    <sheetView showGridLines="0" workbookViewId="0"/>
  </sheetViews>
  <sheetFormatPr defaultRowHeight="13.8"/>
  <cols>
    <col min="1" max="4" width="36" customWidth="1"/>
    <col min="5" max="19" width="10" customWidth="1"/>
  </cols>
  <sheetData>
    <row r="1" spans="1:19" ht="25.95" customHeight="1">
      <c r="A1" s="8" t="s">
        <v>369</v>
      </c>
      <c r="B1" s="8" t="s">
        <v>370</v>
      </c>
      <c r="C1" s="8" t="s">
        <v>371</v>
      </c>
      <c r="D1" s="8" t="s">
        <v>372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64.95" customHeight="1">
      <c r="A2" s="11" t="s">
        <v>373</v>
      </c>
      <c r="B2" s="11" t="s">
        <v>374</v>
      </c>
      <c r="C2" s="11" t="s">
        <v>375</v>
      </c>
      <c r="D2" s="11" t="s">
        <v>376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64.95" customHeight="1">
      <c r="A3" s="11" t="s">
        <v>377</v>
      </c>
      <c r="B3" s="11" t="s">
        <v>378</v>
      </c>
      <c r="C3" s="11" t="s">
        <v>379</v>
      </c>
      <c r="D3" s="11" t="s">
        <v>380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64.95" customHeight="1">
      <c r="A4" s="11" t="s">
        <v>381</v>
      </c>
      <c r="B4" s="11" t="s">
        <v>382</v>
      </c>
      <c r="C4" s="11" t="s">
        <v>383</v>
      </c>
      <c r="D4" s="11" t="s">
        <v>384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64.95" customHeight="1">
      <c r="A5" s="11" t="s">
        <v>385</v>
      </c>
      <c r="B5" s="11" t="s">
        <v>386</v>
      </c>
      <c r="C5" s="11" t="s">
        <v>387</v>
      </c>
      <c r="D5" s="11" t="s">
        <v>388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64.95" customHeight="1">
      <c r="A6" s="11" t="s">
        <v>389</v>
      </c>
      <c r="B6" s="11" t="s">
        <v>390</v>
      </c>
      <c r="C6" s="11" t="s">
        <v>391</v>
      </c>
      <c r="D6" s="11" t="s">
        <v>392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64.95" customHeight="1">
      <c r="A7" s="11" t="s">
        <v>393</v>
      </c>
      <c r="B7" s="11" t="s">
        <v>394</v>
      </c>
      <c r="C7" s="11" t="s">
        <v>395</v>
      </c>
      <c r="D7" s="11" t="s">
        <v>396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64.95" customHeight="1">
      <c r="A8" s="11" t="s">
        <v>397</v>
      </c>
      <c r="B8" s="11" t="s">
        <v>398</v>
      </c>
      <c r="C8" s="11" t="s">
        <v>399</v>
      </c>
      <c r="D8" s="11" t="s">
        <v>400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64.95" customHeight="1">
      <c r="A9" s="11" t="s">
        <v>401</v>
      </c>
      <c r="B9" s="11" t="s">
        <v>402</v>
      </c>
      <c r="C9" s="11" t="s">
        <v>403</v>
      </c>
      <c r="D9" s="11" t="s">
        <v>404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64.95" customHeight="1">
      <c r="A10" s="11" t="s">
        <v>405</v>
      </c>
      <c r="B10" s="11" t="s">
        <v>406</v>
      </c>
      <c r="C10" s="11" t="s">
        <v>407</v>
      </c>
      <c r="D10" s="11" t="s">
        <v>408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2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2.0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2.0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2.0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2.0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2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2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2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2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2.0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2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2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2.0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2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2.0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2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2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2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2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2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2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2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2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2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2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2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2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2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2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2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2.0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2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2.0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22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22.0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22.0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22.0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2.0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22.0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22.0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Applicant_Analysis</vt:lpstr>
      <vt:lpstr>LoanApplications_Clean</vt:lpstr>
      <vt:lpstr>LoanApplications</vt:lpstr>
      <vt:lpstr>Loan_Analysis</vt:lpstr>
      <vt:lpstr>Status_Analysis</vt:lpstr>
      <vt:lpstr>Decision_Analysis</vt:lpstr>
      <vt:lpstr>Trend_Analysis</vt:lpstr>
      <vt:lpstr>Queue_Analysis</vt:lpstr>
      <vt:lpstr>Dashboard_Loan</vt:lpstr>
      <vt:lpstr>Data_Quality_Notes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 der</cp:lastModifiedBy>
  <dcterms:modified xsi:type="dcterms:W3CDTF">2026-09-23T23:16:44Z</dcterms:modified>
</cp:coreProperties>
</file>